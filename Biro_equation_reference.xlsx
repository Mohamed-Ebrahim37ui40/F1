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5629"/>
  <workbookPr defaultThemeVersion="153222"/>
  <bookViews>
    <workbookView xWindow="120" yWindow="45" windowWidth="15270" windowHeight="8040" activeTab="1"/>
  </bookViews>
  <sheets>
    <sheet name="الامتار" sheetId="1" r:id="rId1"/>
    <sheet name="الجور" sheetId="2" r:id="rId2"/>
    <sheet name="ورقة3" sheetId="3" r:id="rId3"/>
    <sheet name="Sheet1" sheetId="4" r:id="rId4"/>
  </sheets>
  <calcPr calcId="191028"/>
</workbook>
</file>

<file path=xl/sharedStrings.xml><?xml version="1.0" encoding="utf-8"?>
<sst xmlns="http://schemas.openxmlformats.org/spreadsheetml/2006/main" uniqueCount="46" count="46">
  <si>
    <t>المساحة</t>
  </si>
  <si>
    <t>نق</t>
  </si>
  <si>
    <t>الزاوية</t>
  </si>
  <si>
    <t>البعدعن السنتر</t>
  </si>
  <si>
    <t>طول الجرة</t>
  </si>
  <si>
    <t>المساحة التراكمية</t>
  </si>
  <si>
    <t>عدد الجورالتراكمى</t>
  </si>
  <si>
    <t>عددالجرر</t>
  </si>
  <si>
    <t>المساحه</t>
  </si>
  <si>
    <t>ع الجرر</t>
  </si>
  <si>
    <t>ع الجرر الباقى</t>
  </si>
  <si>
    <t>عرض الجرة</t>
  </si>
  <si>
    <t>عدد الجرر الباقى</t>
  </si>
  <si>
    <t>السافة العمودية</t>
  </si>
  <si>
    <t>عدد الابراج</t>
  </si>
  <si>
    <t>الوصلة الطائرة</t>
  </si>
  <si>
    <t>البعد عن السنتر</t>
  </si>
  <si>
    <t>البعد عن السنتر2</t>
  </si>
  <si>
    <t>المساحة تراكمية</t>
  </si>
  <si>
    <t>المسافة/متر</t>
  </si>
  <si>
    <t>عمود1</t>
  </si>
  <si>
    <t>المساحه بعرفة نق</t>
  </si>
  <si>
    <t>نق بالقياس</t>
  </si>
  <si>
    <t>نق بمعرفة المساحة</t>
  </si>
  <si>
    <t>عمود2</t>
  </si>
  <si>
    <t>عمود3</t>
  </si>
  <si>
    <t>عمود4</t>
  </si>
  <si>
    <t>عمود5</t>
  </si>
  <si>
    <t>عمود6</t>
  </si>
  <si>
    <t>ن</t>
  </si>
  <si>
    <t>ت</t>
  </si>
  <si>
    <t>ى</t>
  </si>
  <si>
    <t>خ</t>
  </si>
  <si>
    <t>چچچج</t>
  </si>
  <si>
    <t xml:space="preserve">المساحه </t>
  </si>
  <si>
    <t xml:space="preserve">عدد الجرر </t>
  </si>
  <si>
    <t>عدد الجامبوهات</t>
  </si>
  <si>
    <t>متوسط وزن الجامبو</t>
  </si>
  <si>
    <t>معدل الفدان</t>
  </si>
  <si>
    <t>عدد الخطوط</t>
  </si>
  <si>
    <t>عدد المرات</t>
  </si>
  <si>
    <t>عدد الافدنة</t>
  </si>
  <si>
    <t>.</t>
  </si>
  <si>
    <t xml:space="preserve">مساحة الجرة </t>
  </si>
  <si>
    <t>عدد الجرر</t>
  </si>
  <si>
    <t xml:space="preserve">المساحة </t>
  </si>
</sst>
</file>

<file path=xl/styles.xml><?xml version="1.0" encoding="utf-8"?>
<styleSheet xmlns="http://schemas.openxmlformats.org/spreadsheetml/2006/main">
  <numFmts count="3">
    <numFmt numFmtId="0" formatCode="General"/>
    <numFmt numFmtId="1" formatCode="0"/>
    <numFmt numFmtId="2" formatCode="0.00"/>
  </numFmts>
  <fonts count="8">
    <font>
      <name val="Arial"/>
      <sz val="11"/>
    </font>
    <font>
      <name val="Arial"/>
      <b/>
      <sz val="16"/>
      <color rgb="FF000000"/>
    </font>
    <font>
      <name val="Arial"/>
      <sz val="16"/>
      <color rgb="FF000000"/>
    </font>
    <font>
      <name val="Arial"/>
      <sz val="16"/>
      <color rgb="FF000000"/>
    </font>
    <font>
      <name val="Arial"/>
      <b/>
      <sz val="16"/>
      <color rgb="FF000000"/>
    </font>
    <font>
      <name val="Arial"/>
      <b/>
      <sz val="14"/>
      <color rgb="FF000000"/>
    </font>
    <font>
      <name val="Arial"/>
      <b/>
      <sz val="14"/>
    </font>
    <font>
      <name val="Arial"/>
      <b/>
      <sz val="14"/>
      <color rgb="FFFF9900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3399FF"/>
      </patternFill>
    </fill>
    <fill>
      <patternFill patternType="solid">
        <fgColor rgb="FF0000FF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2" xfId="0" applyFont="1" applyBorder="1" applyAlignment="1">
      <alignment vertical="bottom"/>
      <protection locked="0" hidden="0"/>
    </xf>
    <xf numFmtId="0" fontId="3" fillId="0" borderId="2" xfId="0" applyFont="1" applyBorder="1" applyAlignment="1">
      <alignment vertical="bottom"/>
      <protection locked="0" hidden="0"/>
    </xf>
    <xf numFmtId="0" fontId="3" fillId="0" borderId="0" xfId="0" applyFont="1" applyBorder="1" applyAlignment="1">
      <alignment vertical="bottom"/>
      <protection locked="0" hidden="0"/>
    </xf>
    <xf numFmtId="0" fontId="1" fillId="2" borderId="3" xfId="0" applyNumberFormat="1" applyFont="1" applyFill="1" applyBorder="1" applyAlignment="1">
      <alignment vertical="bottom"/>
    </xf>
    <xf numFmtId="0" fontId="1" fillId="0" borderId="2" xfId="0" applyNumberFormat="1" applyFont="1" applyBorder="1" applyAlignment="1">
      <alignment vertical="bottom"/>
    </xf>
    <xf numFmtId="0" fontId="1" fillId="0" borderId="4" xfId="0" applyNumberFormat="1" applyFont="1" applyBorder="1" applyAlignment="1">
      <alignment vertical="bottom"/>
      <protection locked="0" hidden="0"/>
    </xf>
    <xf numFmtId="0" fontId="1" fillId="0" borderId="2" xfId="0" applyNumberFormat="1" applyFont="1" applyBorder="1" applyAlignment="1">
      <alignment vertical="bottom"/>
      <protection locked="0" hidden="0"/>
    </xf>
    <xf numFmtId="0" fontId="4" fillId="0" borderId="2" xfId="0" applyNumberFormat="1" applyFont="1" applyBorder="1" applyAlignment="1">
      <alignment vertical="bottom"/>
      <protection locked="0" hidden="0"/>
    </xf>
    <xf numFmtId="0" fontId="4" fillId="0" borderId="0" xfId="0" applyNumberFormat="1" applyFont="1" applyBorder="1" applyAlignment="1">
      <alignment vertical="bottom"/>
      <protection locked="0" hidden="0"/>
    </xf>
    <xf numFmtId="0" fontId="1" fillId="0" borderId="5" xfId="0" applyNumberFormat="1" applyFont="1" applyBorder="1" applyAlignment="1">
      <alignment vertical="bottom"/>
    </xf>
    <xf numFmtId="0" fontId="1" fillId="0" borderId="5" xfId="0" applyNumberFormat="1" applyFont="1" applyBorder="1" applyAlignment="1">
      <alignment vertical="bottom"/>
      <protection locked="0" hidden="0"/>
    </xf>
    <xf numFmtId="0" fontId="4" fillId="0" borderId="5" xfId="0" applyNumberFormat="1" applyFont="1" applyBorder="1" applyAlignment="1">
      <alignment vertical="bottom"/>
      <protection locked="0" hidden="0"/>
    </xf>
    <xf numFmtId="0" fontId="4" fillId="2" borderId="3" xfId="0" applyNumberFormat="1" applyFont="1" applyFill="1" applyBorder="1" applyAlignment="1">
      <alignment vertical="bottom"/>
    </xf>
    <xf numFmtId="0" fontId="1" fillId="2" borderId="6" xfId="0" applyNumberFormat="1" applyFont="1" applyFill="1" applyBorder="1" applyAlignment="1">
      <alignment vertical="bottom"/>
    </xf>
    <xf numFmtId="0" fontId="1" fillId="0" borderId="4" xfId="0" applyNumberFormat="1" applyFont="1" applyBorder="1" applyAlignment="1">
      <alignment vertical="bottom"/>
    </xf>
    <xf numFmtId="0" fontId="4" fillId="0" borderId="4" xfId="0" applyNumberFormat="1" applyFont="1" applyBorder="1" applyAlignment="1">
      <alignment vertical="bottom"/>
    </xf>
    <xf numFmtId="0" fontId="4" fillId="0" borderId="4" xfId="0" applyNumberFormat="1" applyFont="1" applyBorder="1" applyAlignment="1">
      <alignment vertical="bottom"/>
      <protection locked="0" hidden="0"/>
    </xf>
    <xf numFmtId="1" fontId="1" fillId="0" borderId="0" xfId="0" applyNumberFormat="1" applyFont="1" applyAlignment="1">
      <alignment horizontal="right" vertical="bottom"/>
    </xf>
    <xf numFmtId="0" fontId="5" fillId="0" borderId="0" xfId="0" applyFont="1" applyAlignment="1">
      <alignment horizontal="right" vertical="bottom"/>
    </xf>
    <xf numFmtId="1" fontId="1" fillId="0" borderId="5" xfId="0" applyNumberFormat="1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5" fillId="0" borderId="5" xfId="0" applyFont="1" applyBorder="1" applyAlignment="1">
      <alignment horizontal="right" vertical="bottom"/>
    </xf>
    <xf numFmtId="0" fontId="5" fillId="2" borderId="0" xfId="0" applyFont="1" applyFill="1" applyAlignment="1">
      <alignment horizontal="right" vertical="bottom"/>
    </xf>
    <xf numFmtId="1" fontId="1" fillId="0" borderId="1" xfId="0" applyNumberFormat="1" applyFont="1" applyBorder="1" applyAlignment="1">
      <alignment horizontal="right" vertical="bottom"/>
    </xf>
    <xf numFmtId="0" fontId="5" fillId="0" borderId="2" xfId="0" applyFont="1" applyBorder="1" applyAlignment="1">
      <alignment horizontal="right" vertical="bottom"/>
    </xf>
    <xf numFmtId="0" fontId="5" fillId="0" borderId="7" xfId="0" applyFont="1" applyBorder="1" applyAlignment="1">
      <alignment horizontal="right" vertical="bottom" wrapText="1"/>
    </xf>
    <xf numFmtId="0" fontId="5" fillId="0" borderId="8" xfId="0" applyFont="1" applyBorder="1" applyAlignment="1">
      <alignment horizontal="right" vertical="bottom"/>
    </xf>
    <xf numFmtId="2" fontId="5" fillId="0" borderId="5" xfId="0" applyNumberFormat="1" applyFont="1" applyBorder="1" applyAlignment="1">
      <alignment horizontal="right" vertical="bottom"/>
    </xf>
    <xf numFmtId="1" fontId="1" fillId="2" borderId="9" xfId="0" applyNumberFormat="1" applyFont="1" applyFill="1" applyBorder="1" applyAlignment="1">
      <alignment horizontal="right" vertical="bottom"/>
    </xf>
    <xf numFmtId="0" fontId="5" fillId="3" borderId="5" xfId="0" applyFont="1" applyFill="1" applyBorder="1" applyAlignment="1">
      <alignment horizontal="right" vertical="bottom"/>
    </xf>
    <xf numFmtId="0" fontId="5" fillId="4" borderId="5" xfId="0" applyFont="1" applyFill="1" applyBorder="1" applyAlignment="1">
      <alignment horizontal="right" vertical="bottom"/>
    </xf>
    <xf numFmtId="1" fontId="1" fillId="2" borderId="3" xfId="0" applyNumberFormat="1" applyFont="1" applyFill="1" applyBorder="1" applyAlignment="1">
      <alignment horizontal="right" vertical="bottom"/>
    </xf>
    <xf numFmtId="0" fontId="5" fillId="0" borderId="6" xfId="0" applyFont="1" applyBorder="1" applyAlignment="1">
      <alignment horizontal="right" vertical="bottom"/>
    </xf>
    <xf numFmtId="0" fontId="5" fillId="0" borderId="7" xfId="0" applyFont="1" applyBorder="1" applyAlignment="1">
      <alignment horizontal="right" vertical="bottom"/>
    </xf>
    <xf numFmtId="1" fontId="1" fillId="0" borderId="9" xfId="0" applyNumberFormat="1" applyFont="1" applyBorder="1" applyAlignment="1">
      <alignment horizontal="right" vertical="bottom"/>
    </xf>
    <xf numFmtId="0" fontId="5" fillId="0" borderId="5" xfId="0" applyNumberFormat="1" applyFont="1" applyBorder="1" applyAlignment="1">
      <alignment horizontal="right" vertical="bottom"/>
    </xf>
    <xf numFmtId="1" fontId="1" fillId="0" borderId="3" xfId="0" applyNumberFormat="1" applyFont="1" applyBorder="1" applyAlignment="1">
      <alignment horizontal="right" vertical="bottom"/>
    </xf>
    <xf numFmtId="0" fontId="5" fillId="0" borderId="4" xfId="0" applyFont="1" applyBorder="1" applyAlignment="1">
      <alignment horizontal="right" vertical="bottom"/>
    </xf>
    <xf numFmtId="0" fontId="5" fillId="0" borderId="4" xfId="0" applyNumberFormat="1" applyFont="1" applyBorder="1" applyAlignment="1">
      <alignment horizontal="right" vertical="bottom"/>
    </xf>
    <xf numFmtId="0" fontId="6" fillId="0" borderId="0" xfId="0" applyFont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常规" xfId="0" builtinId="0"/>
  </cellStyles>
  <dxfs count="4">
    <dxf>
      <fill>
        <patternFill>
          <fgColor rgb="FF000000"/>
          <bgColor rgb="FF8EB4E2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fgColor rgb="FF000000"/>
          <bgColor rgb="FFFF0000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Y46"/>
  <sheetViews>
    <sheetView workbookViewId="0">
      <selection activeCell="A12" sqref="A12"/>
    </sheetView>
  </sheetViews>
  <sheetFormatPr defaultRowHeight="20.25" defaultColWidth="10"/>
  <cols>
    <col min="1" max="1" customWidth="1" width="18.386719" style="1"/>
    <col min="2" max="2" customWidth="1" width="17.039062" style="1"/>
    <col min="3" max="3" customWidth="1" bestFit="1" width="16.457031" style="1"/>
    <col min="4" max="4" customWidth="1" bestFit="1" width="15.0859375" style="1"/>
    <col min="5" max="5" customWidth="1" bestFit="1" width="16.457031" style="0"/>
    <col min="6" max="6" customWidth="0" width="0.03125" style="1"/>
    <col min="7" max="7" customWidth="1" width="8.949219" style="1"/>
    <col min="8" max="8" customWidth="1" width="8.949219" style="1"/>
    <col min="9" max="9" customWidth="1" width="38.617188" style="1"/>
    <col min="10" max="12" customWidth="1" width="8.949219" style="1"/>
    <col min="13" max="13" customWidth="1" width="33.222656" style="1"/>
    <col min="14" max="256" customWidth="1" width="8.949219" style="1"/>
  </cols>
  <sheetData>
    <row r="1" spans="8:8">
      <c r="A1" s="1" t="s">
        <v>0</v>
      </c>
      <c r="B1" s="2">
        <v>70.0</v>
      </c>
      <c r="C1" s="1">
        <f>$C$2^2*PI()/4200</f>
        <v>72.11469836446557</v>
      </c>
      <c r="G1" s="3" t="s">
        <v>21</v>
      </c>
      <c r="H1" s="3"/>
      <c r="I1" s="1">
        <f>$I$2^2*PI()/4200</f>
        <v>67.45454958192057</v>
      </c>
    </row>
    <row r="2" spans="8:8">
      <c r="A2" s="1" t="s">
        <v>23</v>
      </c>
      <c r="B2" s="1">
        <f>($B$1*4200/PI())^0.5</f>
        <v>305.9135605657822</v>
      </c>
      <c r="C2" s="1">
        <v>310.5</v>
      </c>
      <c r="G2" s="3" t="s">
        <v>22</v>
      </c>
      <c r="H2" s="3"/>
      <c r="I2" s="1">
        <f>60.5*3+2*54.9+9</f>
        <v>300.3</v>
      </c>
    </row>
    <row r="3" spans="8:8" ht="21.0" customHeight="1">
      <c r="A3" s="1" t="s">
        <v>11</v>
      </c>
      <c r="B3" s="1">
        <f>M6</f>
        <v>1.5695852534562214</v>
      </c>
      <c r="C3" s="1">
        <f>$B$2/$B$4</f>
        <v>1.4792725365850201</v>
      </c>
    </row>
    <row r="4" spans="8:8">
      <c r="A4" s="1" t="s">
        <v>7</v>
      </c>
      <c r="B4" s="1">
        <v>206.8</v>
      </c>
      <c r="C4" s="1">
        <f>$B$2/$B$3</f>
        <v>194.90088855776492</v>
      </c>
    </row>
    <row r="5" spans="8:8">
      <c r="A5" s="1" t="s">
        <v>12</v>
      </c>
      <c r="B5" s="1">
        <v>129.07246036406343</v>
      </c>
    </row>
    <row r="6" spans="8:8">
      <c r="A6" s="1" t="s">
        <v>13</v>
      </c>
      <c r="B6" s="1">
        <v>61.3</v>
      </c>
      <c r="J6" s="4"/>
      <c r="K6" s="4"/>
      <c r="L6" s="4"/>
      <c r="M6" s="4">
        <f>(54.9*2+60.5)/(34+35+39.5)</f>
        <v>1.5695852534562214</v>
      </c>
      <c r="N6" s="4"/>
      <c r="P6" s="4"/>
      <c r="Q6" s="4"/>
      <c r="R6" s="4"/>
      <c r="S6" s="4"/>
      <c r="T6" s="4"/>
    </row>
    <row r="7" spans="8:8">
      <c r="A7" s="1" t="s">
        <v>14</v>
      </c>
      <c r="B7" s="1">
        <f>($B$2-$B$8)/$B$6</f>
        <v>4.931705718854522</v>
      </c>
      <c r="I7" s="1">
        <f>I2+9</f>
        <v>309.3</v>
      </c>
      <c r="J7" s="4"/>
      <c r="K7" s="4"/>
      <c r="L7" s="4"/>
      <c r="M7" s="4"/>
      <c r="N7" s="4"/>
      <c r="P7" s="4"/>
      <c r="Q7" s="4"/>
      <c r="R7" s="4"/>
      <c r="S7" s="4"/>
      <c r="T7" s="4"/>
    </row>
    <row r="8" spans="8:8">
      <c r="A8" s="1" t="s">
        <v>15</v>
      </c>
      <c r="B8" s="1">
        <v>3.6</v>
      </c>
      <c r="J8" s="4"/>
      <c r="K8" s="4"/>
      <c r="L8" s="4"/>
      <c r="M8" s="4"/>
      <c r="N8" s="4"/>
      <c r="P8" s="4"/>
      <c r="Q8" s="4"/>
      <c r="R8" s="4"/>
      <c r="S8" s="4"/>
      <c r="T8" s="4"/>
    </row>
    <row r="9" spans="8:8">
      <c r="A9" s="5" t="s">
        <v>19</v>
      </c>
      <c r="B9" s="1" t="s">
        <v>0</v>
      </c>
      <c r="C9" s="6" t="s">
        <v>16</v>
      </c>
      <c r="D9" s="6" t="s">
        <v>17</v>
      </c>
      <c r="E9" s="6" t="s">
        <v>18</v>
      </c>
      <c r="F9" s="7" t="s">
        <v>20</v>
      </c>
      <c r="G9" s="8"/>
      <c r="K9" s="4">
        <f>30*M6</f>
        <v>47.08755760368664</v>
      </c>
      <c r="L9" s="4"/>
      <c r="M9" s="4"/>
      <c r="N9" s="4"/>
      <c r="O9" s="4"/>
      <c r="Q9" s="4"/>
      <c r="R9" s="4"/>
      <c r="S9" s="4"/>
      <c r="T9" s="4"/>
      <c r="U9" s="4"/>
    </row>
    <row r="10" spans="8:8">
      <c r="A10" s="9">
        <v>61.0</v>
      </c>
      <c r="B10" s="10">
        <f t="shared" si="0" ref="B10:B45">(E11-E10)*IF((E11-E10)&gt;=0,"1",IF((E11-E10)&lt;0,"0"))</f>
        <v>8.826817158545852</v>
      </c>
      <c r="C10" s="11">
        <v>0.0</v>
      </c>
      <c r="D10" s="12">
        <v>0.0</v>
      </c>
      <c r="E10" s="12">
        <f t="shared" si="1" ref="E10:E30">(2*(DEGREES(ASIN(D10/$B$2)))*$B$1/360+(COS(RADIANS(DEGREES(ASIN(D10/$B$2))))*D10*$B$2/4200))</f>
        <v>0.0</v>
      </c>
      <c r="F10" s="13"/>
      <c r="G10" s="14"/>
      <c r="K10" s="4"/>
      <c r="L10" s="4"/>
      <c r="M10" s="4"/>
      <c r="N10" s="4"/>
      <c r="O10" s="4"/>
      <c r="Q10" s="4"/>
      <c r="R10" s="4"/>
      <c r="S10" s="4"/>
      <c r="T10" s="4"/>
      <c r="U10" s="4"/>
    </row>
    <row r="11" spans="8:8" ht="21.5">
      <c r="A11" s="9">
        <v>61.0</v>
      </c>
      <c r="B11" s="15">
        <f t="shared" si="0"/>
        <v>8.462275458696743</v>
      </c>
      <c r="C11" s="11">
        <f t="shared" si="2" ref="C11:C46">A10+C10</f>
        <v>61.0</v>
      </c>
      <c r="D11" s="16">
        <v>61.0</v>
      </c>
      <c r="E11" s="16">
        <f>(2*(DEGREES(ASIN(D11/$B$2)))*$B$1/360+(COS(RADIANS(DEGREES(ASIN(D11/$B$2))))*D11*$B$2/4200))</f>
        <v>8.826817158545852</v>
      </c>
      <c r="F11" s="17"/>
      <c r="G11" s="14"/>
      <c r="K11" s="4"/>
      <c r="L11" s="4"/>
      <c r="M11" s="4"/>
      <c r="N11" s="4"/>
      <c r="O11" s="4"/>
      <c r="Q11" s="4"/>
      <c r="R11" s="4"/>
      <c r="S11" s="4"/>
      <c r="T11" s="4"/>
      <c r="U11" s="4"/>
    </row>
    <row r="12" spans="8:8" ht="21.5">
      <c r="A12" s="18"/>
      <c r="B12" s="15">
        <f t="shared" si="0"/>
        <v>0.0</v>
      </c>
      <c r="C12" s="11">
        <f t="shared" si="2"/>
        <v>122.0</v>
      </c>
      <c r="D12" s="16">
        <v>122.0</v>
      </c>
      <c r="E12" s="16">
        <f t="shared" si="1"/>
        <v>17.289092617242595</v>
      </c>
      <c r="F12" s="17"/>
      <c r="G12" s="14"/>
      <c r="K12" s="4"/>
      <c r="L12" s="4"/>
      <c r="M12" s="4"/>
      <c r="N12" s="4"/>
      <c r="O12" s="4"/>
      <c r="Q12" s="4"/>
      <c r="R12" s="4"/>
      <c r="S12" s="4"/>
      <c r="T12" s="4"/>
      <c r="U12" s="4"/>
    </row>
    <row r="13" spans="8:8">
      <c r="A13" s="9"/>
      <c r="B13" s="15">
        <f t="shared" si="0"/>
        <v>0.0</v>
      </c>
      <c r="C13" s="11">
        <f t="shared" si="2"/>
        <v>122.0</v>
      </c>
      <c r="D13" s="16">
        <v>122.0</v>
      </c>
      <c r="E13" s="16">
        <f t="shared" si="1"/>
        <v>17.289092617242595</v>
      </c>
      <c r="F13" s="17"/>
      <c r="G13" s="14"/>
      <c r="K13" s="4"/>
      <c r="L13" s="4"/>
      <c r="M13" s="4"/>
      <c r="N13" s="4"/>
      <c r="O13" s="4"/>
      <c r="Q13" s="4"/>
      <c r="R13" s="4"/>
      <c r="S13" s="4"/>
      <c r="T13" s="4"/>
      <c r="U13" s="4"/>
    </row>
    <row r="14" spans="8:8">
      <c r="A14" s="9">
        <f t="shared" si="3" ref="A14:A46">K13</f>
        <v>0.0</v>
      </c>
      <c r="B14" s="15">
        <f t="shared" si="0"/>
        <v>0.0</v>
      </c>
      <c r="C14" s="11">
        <f t="shared" si="2"/>
        <v>122.0</v>
      </c>
      <c r="D14" s="16">
        <v>122.0</v>
      </c>
      <c r="E14" s="16">
        <f t="shared" si="4" ref="E14:E26">(2*(DEGREES(ASIN(D14/$B$2)))*$B$1/360+(COS(RADIANS(DEGREES(ASIN(D14/$B$2))))*D14*$B$2/4200))</f>
        <v>17.289092617242595</v>
      </c>
      <c r="F14" s="17"/>
      <c r="G14" s="14"/>
      <c r="K14" s="4"/>
      <c r="L14" s="4"/>
      <c r="M14" s="4"/>
      <c r="N14" s="4"/>
      <c r="O14" s="4"/>
      <c r="Q14" s="4"/>
      <c r="R14" s="4"/>
      <c r="S14" s="4"/>
      <c r="T14" s="4"/>
      <c r="U14" s="4"/>
    </row>
    <row r="15" spans="8:8">
      <c r="A15" s="9">
        <f t="shared" si="3"/>
        <v>0.0</v>
      </c>
      <c r="B15" s="15">
        <f t="shared" si="0"/>
        <v>0.0</v>
      </c>
      <c r="C15" s="11">
        <f t="shared" si="2"/>
        <v>122.0</v>
      </c>
      <c r="D15" s="16">
        <v>122.0</v>
      </c>
      <c r="E15" s="16">
        <f t="shared" si="4"/>
        <v>17.289092617242595</v>
      </c>
      <c r="F15" s="17"/>
      <c r="G15" s="14"/>
      <c r="K15" s="4"/>
      <c r="L15" s="4"/>
      <c r="M15" s="4"/>
      <c r="N15" s="4"/>
      <c r="O15" s="4"/>
      <c r="Q15" s="4"/>
      <c r="R15" s="4"/>
      <c r="S15" s="4"/>
      <c r="T15" s="4"/>
      <c r="U15" s="4"/>
    </row>
    <row r="16" spans="8:8">
      <c r="A16" s="9">
        <f t="shared" si="3"/>
        <v>0.0</v>
      </c>
      <c r="B16" s="15">
        <f t="shared" si="0"/>
        <v>0.0</v>
      </c>
      <c r="C16" s="11">
        <f t="shared" si="2"/>
        <v>122.0</v>
      </c>
      <c r="D16" s="16">
        <v>122.0</v>
      </c>
      <c r="E16" s="16">
        <f t="shared" si="4"/>
        <v>17.289092617242595</v>
      </c>
      <c r="F16" s="17"/>
      <c r="G16" s="14"/>
      <c r="K16" s="4"/>
      <c r="L16" s="4"/>
      <c r="M16" s="4"/>
      <c r="N16" s="4"/>
      <c r="O16" s="4"/>
      <c r="Q16" s="4"/>
      <c r="R16" s="4"/>
      <c r="S16" s="4"/>
      <c r="T16" s="4"/>
      <c r="U16" s="4"/>
    </row>
    <row r="17" spans="8:8">
      <c r="A17" s="9">
        <f t="shared" si="3"/>
        <v>0.0</v>
      </c>
      <c r="B17" s="15">
        <f t="shared" si="0"/>
        <v>0.0</v>
      </c>
      <c r="C17" s="11">
        <f t="shared" si="2"/>
        <v>122.0</v>
      </c>
      <c r="D17" s="16">
        <v>122.0</v>
      </c>
      <c r="E17" s="16">
        <f t="shared" si="4"/>
        <v>17.289092617242595</v>
      </c>
      <c r="F17" s="17"/>
      <c r="G17" s="14"/>
      <c r="K17" s="4"/>
      <c r="L17" s="4"/>
      <c r="M17" s="4"/>
      <c r="N17" s="4"/>
      <c r="O17" s="4"/>
      <c r="Q17" s="4"/>
      <c r="R17" s="4"/>
      <c r="S17" s="4"/>
      <c r="T17" s="4"/>
      <c r="U17" s="4"/>
    </row>
    <row r="18" spans="8:8">
      <c r="A18" s="9">
        <f t="shared" si="3"/>
        <v>0.0</v>
      </c>
      <c r="B18" s="15">
        <f t="shared" si="0"/>
        <v>0.0</v>
      </c>
      <c r="C18" s="11">
        <f t="shared" si="2"/>
        <v>122.0</v>
      </c>
      <c r="D18" s="16">
        <v>122.0</v>
      </c>
      <c r="E18" s="16">
        <f t="shared" si="4"/>
        <v>17.289092617242595</v>
      </c>
      <c r="F18" s="17"/>
      <c r="G18" s="14"/>
      <c r="K18" s="4"/>
      <c r="L18" s="4"/>
      <c r="M18" s="4"/>
      <c r="N18" s="4"/>
      <c r="O18" s="4"/>
      <c r="Q18" s="4"/>
      <c r="R18" s="4"/>
      <c r="S18" s="4"/>
      <c r="T18" s="4"/>
      <c r="U18" s="4"/>
    </row>
    <row r="19" spans="8:8">
      <c r="A19" s="9">
        <f t="shared" si="3"/>
        <v>0.0</v>
      </c>
      <c r="B19" s="15">
        <f t="shared" si="0"/>
        <v>0.0</v>
      </c>
      <c r="C19" s="11">
        <f t="shared" si="2"/>
        <v>122.0</v>
      </c>
      <c r="D19" s="16">
        <v>122.0</v>
      </c>
      <c r="E19" s="16">
        <f t="shared" si="4"/>
        <v>17.289092617242595</v>
      </c>
      <c r="F19" s="17"/>
      <c r="G19" s="14"/>
    </row>
    <row r="20" spans="8:8">
      <c r="A20" s="9">
        <f t="shared" si="3"/>
        <v>0.0</v>
      </c>
      <c r="B20" s="15">
        <f t="shared" si="0"/>
        <v>0.0</v>
      </c>
      <c r="C20" s="11">
        <f t="shared" si="2"/>
        <v>122.0</v>
      </c>
      <c r="D20" s="16">
        <v>122.0</v>
      </c>
      <c r="E20" s="16">
        <f t="shared" si="4"/>
        <v>17.289092617242595</v>
      </c>
      <c r="F20" s="17"/>
      <c r="G20" s="14"/>
    </row>
    <row r="21" spans="8:8">
      <c r="A21" s="9">
        <f t="shared" si="3"/>
        <v>0.0</v>
      </c>
      <c r="B21" s="15">
        <f t="shared" si="0"/>
        <v>0.0</v>
      </c>
      <c r="C21" s="11">
        <f t="shared" si="2"/>
        <v>122.0</v>
      </c>
      <c r="D21" s="16">
        <v>122.0</v>
      </c>
      <c r="E21" s="16">
        <f t="shared" si="4"/>
        <v>17.289092617242595</v>
      </c>
      <c r="F21" s="17"/>
      <c r="G21" s="14"/>
    </row>
    <row r="22" spans="8:8">
      <c r="A22" s="9">
        <f t="shared" si="3"/>
        <v>0.0</v>
      </c>
      <c r="B22" s="15">
        <f t="shared" si="0"/>
        <v>0.0</v>
      </c>
      <c r="C22" s="11">
        <f t="shared" si="2"/>
        <v>122.0</v>
      </c>
      <c r="D22" s="16">
        <v>122.0</v>
      </c>
      <c r="E22" s="16">
        <f t="shared" si="4"/>
        <v>17.289092617242595</v>
      </c>
      <c r="F22" s="17"/>
      <c r="G22" s="14"/>
    </row>
    <row r="23" spans="8:8">
      <c r="A23" s="9">
        <f t="shared" si="3"/>
        <v>0.0</v>
      </c>
      <c r="B23" s="15">
        <f t="shared" si="0"/>
        <v>0.0</v>
      </c>
      <c r="C23" s="11">
        <f t="shared" si="2"/>
        <v>122.0</v>
      </c>
      <c r="D23" s="16">
        <v>122.0</v>
      </c>
      <c r="E23" s="16">
        <f t="shared" si="4"/>
        <v>17.289092617242595</v>
      </c>
      <c r="F23" s="17"/>
      <c r="G23" s="14"/>
    </row>
    <row r="24" spans="8:8">
      <c r="A24" s="9">
        <f t="shared" si="3"/>
        <v>0.0</v>
      </c>
      <c r="B24" s="15">
        <f t="shared" si="0"/>
        <v>0.0</v>
      </c>
      <c r="C24" s="11">
        <f t="shared" si="2"/>
        <v>122.0</v>
      </c>
      <c r="D24" s="16">
        <v>122.0</v>
      </c>
      <c r="E24" s="16">
        <f t="shared" si="4"/>
        <v>17.289092617242595</v>
      </c>
      <c r="F24" s="17"/>
      <c r="G24" s="14"/>
    </row>
    <row r="25" spans="8:8">
      <c r="A25" s="9">
        <f t="shared" si="3"/>
        <v>0.0</v>
      </c>
      <c r="B25" s="15">
        <f t="shared" si="0"/>
        <v>0.0</v>
      </c>
      <c r="C25" s="11">
        <f t="shared" si="2"/>
        <v>122.0</v>
      </c>
      <c r="D25" s="16">
        <v>122.0</v>
      </c>
      <c r="E25" s="16">
        <f t="shared" si="4"/>
        <v>17.289092617242595</v>
      </c>
      <c r="F25" s="17"/>
      <c r="G25" s="14"/>
    </row>
    <row r="26" spans="8:8">
      <c r="A26" s="9">
        <f t="shared" si="3"/>
        <v>0.0</v>
      </c>
      <c r="B26" s="15">
        <f t="shared" si="0"/>
        <v>0.0</v>
      </c>
      <c r="C26" s="11">
        <f t="shared" si="2"/>
        <v>122.0</v>
      </c>
      <c r="D26" s="16">
        <v>122.0</v>
      </c>
      <c r="E26" s="16">
        <f t="shared" si="4"/>
        <v>17.289092617242595</v>
      </c>
      <c r="F26" s="17"/>
      <c r="G26" s="14"/>
    </row>
    <row r="27" spans="8:8">
      <c r="A27" s="9">
        <f t="shared" si="3"/>
        <v>0.0</v>
      </c>
      <c r="B27" s="15">
        <f t="shared" si="0"/>
        <v>0.0</v>
      </c>
      <c r="C27" s="11">
        <f t="shared" si="2"/>
        <v>122.0</v>
      </c>
      <c r="D27" s="16">
        <v>122.0</v>
      </c>
      <c r="E27" s="16">
        <f t="shared" si="1"/>
        <v>17.289092617242595</v>
      </c>
      <c r="F27" s="17"/>
      <c r="G27" s="14"/>
    </row>
    <row r="28" spans="8:8">
      <c r="A28" s="18">
        <f t="shared" si="3"/>
        <v>0.0</v>
      </c>
      <c r="B28" s="15">
        <f t="shared" si="0"/>
        <v>0.0</v>
      </c>
      <c r="C28" s="11">
        <f t="shared" si="2"/>
        <v>122.0</v>
      </c>
      <c r="D28" s="16">
        <v>122.0</v>
      </c>
      <c r="E28" s="16">
        <f t="shared" si="1"/>
        <v>17.289092617242595</v>
      </c>
      <c r="F28" s="17"/>
      <c r="G28" s="14"/>
    </row>
    <row r="29" spans="8:8">
      <c r="A29" s="9">
        <f t="shared" si="3"/>
        <v>0.0</v>
      </c>
      <c r="B29" s="15">
        <f t="shared" si="0"/>
        <v>0.0</v>
      </c>
      <c r="C29" s="11">
        <f t="shared" si="2"/>
        <v>122.0</v>
      </c>
      <c r="D29" s="16">
        <v>122.0</v>
      </c>
      <c r="E29" s="16">
        <f t="shared" si="1"/>
        <v>17.289092617242595</v>
      </c>
      <c r="F29" s="17"/>
      <c r="G29" s="14"/>
    </row>
    <row r="30" spans="8:8">
      <c r="A30" s="19">
        <f t="shared" si="3"/>
        <v>0.0</v>
      </c>
      <c r="B30" s="20">
        <f t="shared" si="0"/>
        <v>0.0</v>
      </c>
      <c r="C30" s="11">
        <f t="shared" si="2"/>
        <v>122.0</v>
      </c>
      <c r="D30" s="11">
        <v>122.0</v>
      </c>
      <c r="E30" s="11">
        <f t="shared" si="1"/>
        <v>17.289092617242595</v>
      </c>
      <c r="F30" s="17"/>
      <c r="G30" s="14"/>
    </row>
    <row r="31" spans="8:8">
      <c r="A31" s="19">
        <f t="shared" si="3"/>
        <v>0.0</v>
      </c>
      <c r="B31" s="20">
        <f t="shared" si="0"/>
        <v>0.0</v>
      </c>
      <c r="C31" s="11">
        <f t="shared" si="2"/>
        <v>122.0</v>
      </c>
      <c r="D31" s="11">
        <v>122.0</v>
      </c>
      <c r="E31" s="11">
        <f t="shared" si="5" ref="E31:E46">(2*(DEGREES(ASIN(D31/$B$2)))*$B$1/360+(COS(RADIANS(DEGREES(ASIN(D31/$B$2))))*D31*$B$2/4200))</f>
        <v>17.289092617242595</v>
      </c>
      <c r="F31" s="17"/>
      <c r="G31" s="14"/>
    </row>
    <row r="32" spans="8:8">
      <c r="A32" s="19">
        <f t="shared" si="3"/>
        <v>0.0</v>
      </c>
      <c r="B32" s="20">
        <f t="shared" si="0"/>
        <v>0.0</v>
      </c>
      <c r="C32" s="11">
        <f t="shared" si="2"/>
        <v>122.0</v>
      </c>
      <c r="D32" s="11">
        <v>122.0</v>
      </c>
      <c r="E32" s="11">
        <f t="shared" si="5"/>
        <v>17.289092617242595</v>
      </c>
      <c r="F32" s="17"/>
      <c r="G32" s="14"/>
    </row>
    <row r="33" spans="8:8">
      <c r="A33" s="18">
        <f t="shared" si="3"/>
        <v>0.0</v>
      </c>
      <c r="B33" s="21">
        <f t="shared" si="0"/>
        <v>0.0</v>
      </c>
      <c r="C33" s="22">
        <f t="shared" si="2"/>
        <v>122.0</v>
      </c>
      <c r="D33" s="22">
        <v>122.0</v>
      </c>
      <c r="E33" s="22">
        <f t="shared" si="5"/>
        <v>17.289092617242595</v>
      </c>
      <c r="F33" s="17"/>
      <c r="G33" s="14"/>
    </row>
    <row r="34" spans="8:8">
      <c r="A34" s="18">
        <f t="shared" si="3"/>
        <v>0.0</v>
      </c>
      <c r="B34" s="21">
        <f t="shared" si="0"/>
        <v>0.0</v>
      </c>
      <c r="C34" s="22">
        <f t="shared" si="2"/>
        <v>122.0</v>
      </c>
      <c r="D34" s="22">
        <v>122.0</v>
      </c>
      <c r="E34" s="22">
        <f t="shared" si="5"/>
        <v>17.289092617242595</v>
      </c>
      <c r="F34" s="17"/>
      <c r="G34" s="14"/>
    </row>
    <row r="35" spans="8:8">
      <c r="A35" s="18">
        <f t="shared" si="3"/>
        <v>0.0</v>
      </c>
      <c r="B35" s="21">
        <f t="shared" si="0"/>
        <v>0.0</v>
      </c>
      <c r="C35" s="22">
        <f t="shared" si="2"/>
        <v>122.0</v>
      </c>
      <c r="D35" s="22">
        <v>122.0</v>
      </c>
      <c r="E35" s="22">
        <f t="shared" si="5"/>
        <v>17.289092617242595</v>
      </c>
      <c r="F35" s="17"/>
      <c r="G35" s="14"/>
    </row>
    <row r="36" spans="8:8">
      <c r="A36" s="18">
        <f t="shared" si="3"/>
        <v>0.0</v>
      </c>
      <c r="B36" s="21">
        <f t="shared" si="0"/>
        <v>0.0</v>
      </c>
      <c r="C36" s="22">
        <f t="shared" si="2"/>
        <v>122.0</v>
      </c>
      <c r="D36" s="22">
        <v>122.0</v>
      </c>
      <c r="E36" s="22">
        <f t="shared" si="5"/>
        <v>17.289092617242595</v>
      </c>
      <c r="F36" s="17"/>
      <c r="G36" s="14"/>
    </row>
    <row r="37" spans="8:8">
      <c r="A37" s="18">
        <f t="shared" si="3"/>
        <v>0.0</v>
      </c>
      <c r="B37" s="21">
        <f t="shared" si="0"/>
        <v>0.0</v>
      </c>
      <c r="C37" s="22">
        <f t="shared" si="2"/>
        <v>122.0</v>
      </c>
      <c r="D37" s="22">
        <v>122.0</v>
      </c>
      <c r="E37" s="22">
        <f t="shared" si="5"/>
        <v>17.289092617242595</v>
      </c>
      <c r="F37" s="17"/>
      <c r="G37" s="14"/>
    </row>
    <row r="38" spans="8:8">
      <c r="A38" s="18">
        <f t="shared" si="3"/>
        <v>0.0</v>
      </c>
      <c r="B38" s="21">
        <f t="shared" si="0"/>
        <v>0.0</v>
      </c>
      <c r="C38" s="22">
        <f t="shared" si="2"/>
        <v>122.0</v>
      </c>
      <c r="D38" s="22">
        <v>122.0</v>
      </c>
      <c r="E38" s="22">
        <f t="shared" si="5"/>
        <v>17.289092617242595</v>
      </c>
      <c r="F38" s="17"/>
      <c r="G38" s="14"/>
    </row>
    <row r="39" spans="8:8">
      <c r="A39" s="18">
        <f t="shared" si="3"/>
        <v>0.0</v>
      </c>
      <c r="B39" s="21">
        <f t="shared" si="0"/>
        <v>0.0</v>
      </c>
      <c r="C39" s="22">
        <f t="shared" si="2"/>
        <v>122.0</v>
      </c>
      <c r="D39" s="22">
        <v>122.0</v>
      </c>
      <c r="E39" s="22">
        <f t="shared" si="5"/>
        <v>17.289092617242595</v>
      </c>
      <c r="F39" s="17"/>
      <c r="G39" s="14"/>
    </row>
    <row r="40" spans="8:8">
      <c r="A40" s="18">
        <f t="shared" si="3"/>
        <v>0.0</v>
      </c>
      <c r="B40" s="21">
        <f t="shared" si="0"/>
        <v>0.0</v>
      </c>
      <c r="C40" s="22">
        <f t="shared" si="2"/>
        <v>122.0</v>
      </c>
      <c r="D40" s="22">
        <v>122.0</v>
      </c>
      <c r="E40" s="22">
        <f t="shared" si="5"/>
        <v>17.289092617242595</v>
      </c>
      <c r="F40" s="17"/>
      <c r="G40" s="14"/>
    </row>
    <row r="41" spans="8:8">
      <c r="A41" s="18">
        <f t="shared" si="3"/>
        <v>0.0</v>
      </c>
      <c r="B41" s="21">
        <f t="shared" si="0"/>
        <v>0.0</v>
      </c>
      <c r="C41" s="22">
        <f t="shared" si="2"/>
        <v>122.0</v>
      </c>
      <c r="D41" s="22">
        <v>122.0</v>
      </c>
      <c r="E41" s="22">
        <f t="shared" si="5"/>
        <v>17.289092617242595</v>
      </c>
      <c r="F41" s="17"/>
      <c r="G41" s="14"/>
    </row>
    <row r="42" spans="8:8">
      <c r="A42" s="18">
        <f t="shared" si="3"/>
        <v>0.0</v>
      </c>
      <c r="B42" s="21">
        <f t="shared" si="0"/>
        <v>0.0</v>
      </c>
      <c r="C42" s="22">
        <f t="shared" si="2"/>
        <v>122.0</v>
      </c>
      <c r="D42" s="22">
        <v>122.0</v>
      </c>
      <c r="E42" s="22">
        <f t="shared" si="5"/>
        <v>17.289092617242595</v>
      </c>
      <c r="F42" s="17"/>
      <c r="G42" s="14"/>
    </row>
    <row r="43" spans="8:8">
      <c r="A43" s="18">
        <f t="shared" si="3"/>
        <v>0.0</v>
      </c>
      <c r="B43" s="21">
        <f t="shared" si="0"/>
        <v>0.0</v>
      </c>
      <c r="C43" s="22">
        <f t="shared" si="2"/>
        <v>122.0</v>
      </c>
      <c r="D43" s="22">
        <v>122.0</v>
      </c>
      <c r="E43" s="22">
        <f t="shared" si="5"/>
        <v>17.289092617242595</v>
      </c>
      <c r="F43" s="17"/>
      <c r="G43" s="14"/>
    </row>
    <row r="44" spans="8:8">
      <c r="A44" s="18">
        <f t="shared" si="3"/>
        <v>0.0</v>
      </c>
      <c r="B44" s="21">
        <f t="shared" si="0"/>
        <v>0.0</v>
      </c>
      <c r="C44" s="22">
        <f t="shared" si="2"/>
        <v>122.0</v>
      </c>
      <c r="D44" s="22">
        <v>122.0</v>
      </c>
      <c r="E44" s="22">
        <f t="shared" si="5"/>
        <v>17.289092617242595</v>
      </c>
      <c r="F44" s="17"/>
      <c r="G44" s="14"/>
    </row>
    <row r="45" spans="8:8">
      <c r="A45" s="18">
        <f t="shared" si="3"/>
        <v>0.0</v>
      </c>
      <c r="B45" s="21">
        <f t="shared" si="0"/>
        <v>0.0</v>
      </c>
      <c r="C45" s="22">
        <f t="shared" si="2"/>
        <v>122.0</v>
      </c>
      <c r="D45" s="22">
        <v>122.0</v>
      </c>
      <c r="E45" s="22">
        <f t="shared" si="5"/>
        <v>17.289092617242595</v>
      </c>
      <c r="F45" s="17"/>
      <c r="G45" s="14"/>
    </row>
    <row r="46" spans="8:8">
      <c r="A46" s="18">
        <f t="shared" si="3"/>
        <v>0.0</v>
      </c>
      <c r="B46" s="21">
        <f>(D47-E46)*IF((D47-E46)&gt;=0,"1",IF((D47-E46)&lt;0,"0"))</f>
        <v>0.0</v>
      </c>
      <c r="C46" s="22">
        <f t="shared" si="2"/>
        <v>122.0</v>
      </c>
      <c r="D46" s="22">
        <v>122.0</v>
      </c>
      <c r="E46" s="22">
        <f t="shared" si="5"/>
        <v>17.289092617242595</v>
      </c>
      <c r="F46" s="22"/>
      <c r="G46" s="14"/>
    </row>
  </sheetData>
  <mergeCells count="2">
    <mergeCell ref="G1:H1"/>
    <mergeCell ref="G2:H2"/>
  </mergeCells>
  <conditionalFormatting sqref="C10:C46">
    <cfRule type="cellIs" operator="greaterThan" priority="3" dxfId="0">
      <formula>"$b$2"</formula>
    </cfRule>
    <cfRule type="cellIs" operator="greaterThan" priority="2" dxfId="1">
      <formula>$B$2</formula>
    </cfRule>
  </conditionalFormatting>
  <conditionalFormatting sqref="B5">
    <cfRule type="cellIs" operator="lessThan" priority="1" dxfId="2">
      <formula>0</formula>
    </cfRule>
  </conditionalFormatting>
  <conditionalFormatting sqref="D10:D46">
    <cfRule type="cellIs" operator="greaterThan" priority="4" dxfId="3">
      <formula>"$b$2"</formula>
    </cfRule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Z40"/>
  <sheetViews>
    <sheetView tabSelected="1" workbookViewId="0" topLeftCell="B5" zoomScale="80">
      <selection activeCell="Q16" sqref="Q16"/>
    </sheetView>
  </sheetViews>
  <sheetFormatPr defaultRowHeight="20.25" defaultColWidth="10"/>
  <cols>
    <col min="1" max="1" customWidth="1" width="14.21875" style="23"/>
    <col min="2" max="2" customWidth="1" width="14.464844" style="24"/>
    <col min="3" max="3" hidden="1" customWidth="1" bestFit="1" width="16.113281" style="24"/>
    <col min="4" max="4" hidden="1" customWidth="1" bestFit="1" width="12.230469" style="24"/>
    <col min="5" max="5" hidden="1" customWidth="1" bestFit="1" width="7.1132812" style="24"/>
    <col min="6" max="6" hidden="1" customWidth="1" bestFit="1" width="15.050781" style="24"/>
    <col min="7" max="7" hidden="1" customWidth="1" bestFit="1" width="15.050781" style="24"/>
    <col min="8" max="8" hidden="1" customWidth="1" bestFit="1" width="15.050781" style="24"/>
    <col min="9" max="9" hidden="1" customWidth="1" width="8.949219" style="24"/>
    <col min="10" max="10" hidden="1" customWidth="1" bestFit="1" width="15.050781" style="24"/>
    <col min="11" max="11" hidden="1" customWidth="1" width="8.949219" style="24"/>
    <col min="12" max="12" hidden="1" customWidth="1" bestFit="1" width="15.050781" style="24"/>
    <col min="13" max="13" hidden="1" customWidth="1" width="8.949219" style="24"/>
    <col min="14" max="14" customWidth="1" width="8.949219" style="24"/>
    <col min="15" max="15" customWidth="1" width="11.582031" style="24"/>
    <col min="16" max="16" customWidth="1" width="15.3515625" style="24"/>
    <col min="17" max="17" customWidth="1" width="11.8203125" style="24"/>
    <col min="18" max="18" customWidth="1" width="8.949219" style="24"/>
    <col min="19" max="19" customWidth="1" width="8.949219" style="24"/>
    <col min="20" max="20" customWidth="1" width="8.949219" style="24"/>
    <col min="21" max="21" customWidth="1" width="8.949219" style="24"/>
    <col min="22" max="22" customWidth="1" width="8.949219" style="24"/>
    <col min="23" max="23" customWidth="1" width="8.949219" style="24"/>
    <col min="24" max="24" customWidth="1" width="8.949219" style="24"/>
    <col min="25" max="25" customWidth="1" width="8.949219" style="24"/>
    <col min="26" max="26" customWidth="1" width="8.949219" style="24"/>
    <col min="27" max="27" customWidth="1" width="8.949219" style="24"/>
    <col min="28" max="28" customWidth="1" width="8.949219" style="24"/>
    <col min="29" max="29" customWidth="1" width="8.949219" style="24"/>
    <col min="30" max="30" customWidth="1" width="8.949219" style="24"/>
    <col min="31" max="31" customWidth="1" width="8.949219" style="24"/>
    <col min="32" max="32" customWidth="1" width="8.949219" style="24"/>
    <col min="33" max="33" customWidth="1" width="8.949219" style="24"/>
    <col min="34" max="34" customWidth="1" width="8.949219" style="24"/>
    <col min="35" max="35" customWidth="1" width="8.949219" style="24"/>
    <col min="36" max="36" customWidth="1" width="8.949219" style="24"/>
    <col min="37" max="37" customWidth="1" width="8.949219" style="24"/>
    <col min="38" max="38" customWidth="1" width="8.949219" style="24"/>
    <col min="39" max="39" customWidth="1" width="8.949219" style="24"/>
    <col min="40" max="40" customWidth="1" width="8.949219" style="24"/>
    <col min="41" max="41" customWidth="1" width="8.949219" style="24"/>
    <col min="42" max="42" customWidth="1" width="8.949219" style="24"/>
    <col min="43" max="43" customWidth="1" width="8.949219" style="24"/>
    <col min="44" max="44" customWidth="1" width="8.949219" style="24"/>
    <col min="45" max="45" customWidth="1" width="8.949219" style="24"/>
    <col min="46" max="46" customWidth="1" width="8.949219" style="24"/>
    <col min="47" max="47" customWidth="1" width="8.949219" style="24"/>
    <col min="48" max="48" customWidth="1" width="8.949219" style="24"/>
    <col min="49" max="49" customWidth="1" width="8.949219" style="24"/>
    <col min="50" max="50" customWidth="1" width="8.949219" style="24"/>
    <col min="51" max="51" customWidth="1" width="8.949219" style="24"/>
    <col min="52" max="52" customWidth="1" width="8.949219" style="24"/>
    <col min="53" max="53" customWidth="1" width="8.949219" style="24"/>
    <col min="54" max="54" customWidth="1" width="8.949219" style="24"/>
    <col min="55" max="55" customWidth="1" width="8.949219" style="24"/>
    <col min="56" max="56" customWidth="1" width="8.949219" style="24"/>
    <col min="57" max="57" customWidth="1" width="8.949219" style="24"/>
    <col min="58" max="58" customWidth="1" width="8.949219" style="24"/>
    <col min="59" max="59" customWidth="1" width="8.949219" style="24"/>
    <col min="60" max="60" customWidth="1" width="8.949219" style="24"/>
    <col min="61" max="61" customWidth="1" width="8.949219" style="24"/>
    <col min="62" max="62" customWidth="1" width="8.949219" style="24"/>
    <col min="63" max="63" customWidth="1" width="8.949219" style="24"/>
    <col min="64" max="64" customWidth="1" width="8.949219" style="24"/>
    <col min="65" max="65" customWidth="1" width="8.949219" style="24"/>
    <col min="66" max="66" customWidth="1" width="8.949219" style="24"/>
    <col min="67" max="67" customWidth="1" width="8.949219" style="24"/>
    <col min="68" max="68" customWidth="1" width="8.949219" style="24"/>
    <col min="69" max="69" customWidth="1" width="8.949219" style="24"/>
    <col min="70" max="70" customWidth="1" width="8.949219" style="24"/>
    <col min="71" max="71" customWidth="1" width="8.949219" style="24"/>
    <col min="72" max="72" customWidth="1" width="8.949219" style="24"/>
    <col min="73" max="73" customWidth="1" width="8.949219" style="24"/>
    <col min="74" max="74" customWidth="1" width="8.949219" style="24"/>
    <col min="75" max="75" customWidth="1" width="8.949219" style="24"/>
    <col min="76" max="76" customWidth="1" width="8.949219" style="24"/>
    <col min="77" max="77" customWidth="1" width="8.949219" style="24"/>
    <col min="78" max="78" customWidth="1" width="8.949219" style="24"/>
    <col min="79" max="79" customWidth="1" width="8.949219" style="24"/>
    <col min="80" max="80" customWidth="1" width="8.949219" style="24"/>
    <col min="81" max="81" customWidth="1" width="8.949219" style="24"/>
    <col min="82" max="82" customWidth="1" width="8.949219" style="24"/>
    <col min="83" max="83" customWidth="1" width="8.949219" style="24"/>
    <col min="84" max="84" customWidth="1" width="8.949219" style="24"/>
    <col min="85" max="85" customWidth="1" width="8.949219" style="24"/>
    <col min="86" max="86" customWidth="1" width="8.949219" style="24"/>
    <col min="87" max="87" customWidth="1" width="8.949219" style="24"/>
    <col min="88" max="88" customWidth="1" width="8.949219" style="24"/>
    <col min="89" max="89" customWidth="1" width="8.949219" style="24"/>
    <col min="90" max="90" customWidth="1" width="8.949219" style="24"/>
    <col min="91" max="91" customWidth="1" width="8.949219" style="24"/>
    <col min="92" max="92" customWidth="1" width="8.949219" style="24"/>
    <col min="93" max="93" customWidth="1" width="8.949219" style="24"/>
    <col min="94" max="94" customWidth="1" width="8.949219" style="24"/>
    <col min="95" max="95" customWidth="1" width="8.949219" style="24"/>
    <col min="96" max="96" customWidth="1" width="8.949219" style="24"/>
    <col min="97" max="97" customWidth="1" width="8.949219" style="24"/>
    <col min="98" max="98" customWidth="1" width="8.949219" style="24"/>
    <col min="99" max="99" customWidth="1" width="8.949219" style="24"/>
    <col min="100" max="100" customWidth="1" width="8.949219" style="24"/>
    <col min="101" max="101" customWidth="1" width="8.949219" style="24"/>
    <col min="102" max="102" customWidth="1" width="8.949219" style="24"/>
    <col min="103" max="103" customWidth="1" width="8.949219" style="24"/>
    <col min="104" max="104" customWidth="1" width="8.949219" style="24"/>
    <col min="105" max="105" customWidth="1" width="8.949219" style="24"/>
    <col min="106" max="106" customWidth="1" width="8.949219" style="24"/>
    <col min="107" max="107" customWidth="1" width="8.949219" style="24"/>
    <col min="108" max="108" customWidth="1" width="8.949219" style="24"/>
    <col min="109" max="109" customWidth="1" width="8.949219" style="24"/>
    <col min="110" max="110" customWidth="1" width="8.949219" style="24"/>
    <col min="111" max="111" customWidth="1" width="8.949219" style="24"/>
    <col min="112" max="112" customWidth="1" width="8.949219" style="24"/>
    <col min="113" max="113" customWidth="1" width="8.949219" style="24"/>
    <col min="114" max="114" customWidth="1" width="8.949219" style="24"/>
    <col min="115" max="115" customWidth="1" width="8.949219" style="24"/>
    <col min="116" max="116" customWidth="1" width="8.949219" style="24"/>
    <col min="117" max="117" customWidth="1" width="8.949219" style="24"/>
    <col min="118" max="118" customWidth="1" width="8.949219" style="24"/>
    <col min="119" max="119" customWidth="1" width="8.949219" style="24"/>
    <col min="120" max="120" customWidth="1" width="8.949219" style="24"/>
    <col min="121" max="121" customWidth="1" width="8.949219" style="24"/>
    <col min="122" max="122" customWidth="1" width="8.949219" style="24"/>
    <col min="123" max="123" customWidth="1" width="8.949219" style="24"/>
    <col min="124" max="124" customWidth="1" width="8.949219" style="24"/>
    <col min="125" max="125" customWidth="1" width="8.949219" style="24"/>
    <col min="126" max="126" customWidth="1" width="8.949219" style="24"/>
    <col min="127" max="127" customWidth="1" width="8.949219" style="24"/>
    <col min="128" max="128" customWidth="1" width="8.949219" style="24"/>
    <col min="129" max="129" customWidth="1" width="8.949219" style="24"/>
    <col min="130" max="130" customWidth="1" width="8.949219" style="24"/>
    <col min="131" max="131" customWidth="1" width="8.949219" style="24"/>
    <col min="132" max="132" customWidth="1" width="8.949219" style="24"/>
    <col min="133" max="133" customWidth="1" width="8.949219" style="24"/>
    <col min="134" max="134" customWidth="1" width="8.949219" style="24"/>
    <col min="135" max="135" customWidth="1" width="8.949219" style="24"/>
    <col min="136" max="136" customWidth="1" width="8.949219" style="24"/>
    <col min="137" max="137" customWidth="1" width="8.949219" style="24"/>
    <col min="138" max="138" customWidth="1" width="8.949219" style="24"/>
    <col min="139" max="139" customWidth="1" width="8.949219" style="24"/>
    <col min="140" max="140" customWidth="1" width="8.949219" style="24"/>
    <col min="141" max="141" customWidth="1" width="8.949219" style="24"/>
    <col min="142" max="142" customWidth="1" width="8.949219" style="24"/>
    <col min="143" max="143" customWidth="1" width="8.949219" style="24"/>
    <col min="144" max="144" customWidth="1" width="8.949219" style="24"/>
    <col min="145" max="145" customWidth="1" width="8.949219" style="24"/>
    <col min="146" max="146" customWidth="1" width="8.949219" style="24"/>
    <col min="147" max="147" customWidth="1" width="8.949219" style="24"/>
    <col min="148" max="148" customWidth="1" width="8.949219" style="24"/>
    <col min="149" max="149" customWidth="1" width="8.949219" style="24"/>
    <col min="150" max="150" customWidth="1" width="8.949219" style="24"/>
    <col min="151" max="151" customWidth="1" width="8.949219" style="24"/>
    <col min="152" max="152" customWidth="1" width="8.949219" style="24"/>
    <col min="153" max="153" customWidth="1" width="8.949219" style="24"/>
    <col min="154" max="154" customWidth="1" width="8.949219" style="24"/>
    <col min="155" max="155" customWidth="1" width="8.949219" style="24"/>
    <col min="156" max="156" customWidth="1" width="8.949219" style="24"/>
    <col min="157" max="157" customWidth="1" width="8.949219" style="24"/>
    <col min="158" max="158" customWidth="1" width="8.949219" style="24"/>
    <col min="159" max="159" customWidth="1" width="8.949219" style="24"/>
    <col min="160" max="160" customWidth="1" width="8.949219" style="24"/>
    <col min="161" max="161" customWidth="1" width="8.949219" style="24"/>
    <col min="162" max="162" customWidth="1" width="8.949219" style="24"/>
    <col min="163" max="163" customWidth="1" width="8.949219" style="24"/>
    <col min="164" max="164" customWidth="1" width="8.949219" style="24"/>
    <col min="165" max="165" customWidth="1" width="8.949219" style="24"/>
    <col min="166" max="166" customWidth="1" width="8.949219" style="24"/>
    <col min="167" max="167" customWidth="1" width="8.949219" style="24"/>
    <col min="168" max="168" customWidth="1" width="8.949219" style="24"/>
    <col min="169" max="169" customWidth="1" width="8.949219" style="24"/>
    <col min="170" max="170" customWidth="1" width="8.949219" style="24"/>
    <col min="171" max="171" customWidth="1" width="8.949219" style="24"/>
    <col min="172" max="172" customWidth="1" width="8.949219" style="24"/>
    <col min="173" max="173" customWidth="1" width="8.949219" style="24"/>
    <col min="174" max="174" customWidth="1" width="8.949219" style="24"/>
    <col min="175" max="175" customWidth="1" width="8.949219" style="24"/>
    <col min="176" max="176" customWidth="1" width="8.949219" style="24"/>
    <col min="177" max="177" customWidth="1" width="8.949219" style="24"/>
    <col min="178" max="178" customWidth="1" width="8.949219" style="24"/>
    <col min="179" max="179" customWidth="1" width="8.949219" style="24"/>
    <col min="180" max="180" customWidth="1" width="8.949219" style="24"/>
    <col min="181" max="181" customWidth="1" width="8.949219" style="24"/>
    <col min="182" max="182" customWidth="1" width="8.949219" style="24"/>
    <col min="183" max="183" customWidth="1" width="8.949219" style="24"/>
    <col min="184" max="184" customWidth="1" width="8.949219" style="24"/>
    <col min="185" max="185" customWidth="1" width="8.949219" style="24"/>
    <col min="186" max="186" customWidth="1" width="8.949219" style="24"/>
    <col min="187" max="187" customWidth="1" width="8.949219" style="24"/>
    <col min="188" max="188" customWidth="1" width="8.949219" style="24"/>
    <col min="189" max="189" customWidth="1" width="8.949219" style="24"/>
    <col min="190" max="190" customWidth="1" width="8.949219" style="24"/>
    <col min="191" max="191" customWidth="1" width="8.949219" style="24"/>
    <col min="192" max="192" customWidth="1" width="8.949219" style="24"/>
    <col min="193" max="193" customWidth="1" width="8.949219" style="24"/>
    <col min="194" max="194" customWidth="1" width="8.949219" style="24"/>
    <col min="195" max="195" customWidth="1" width="8.949219" style="24"/>
    <col min="196" max="196" customWidth="1" width="8.949219" style="24"/>
    <col min="197" max="197" customWidth="1" width="8.949219" style="24"/>
    <col min="198" max="198" customWidth="1" width="8.949219" style="24"/>
    <col min="199" max="199" customWidth="1" width="8.949219" style="24"/>
    <col min="200" max="200" customWidth="1" width="8.949219" style="24"/>
    <col min="201" max="201" customWidth="1" width="8.949219" style="24"/>
    <col min="202" max="202" customWidth="1" width="8.949219" style="24"/>
    <col min="203" max="203" customWidth="1" width="8.949219" style="24"/>
    <col min="204" max="204" customWidth="1" width="8.949219" style="24"/>
    <col min="205" max="205" customWidth="1" width="8.949219" style="24"/>
    <col min="206" max="206" customWidth="1" width="8.949219" style="24"/>
    <col min="207" max="207" customWidth="1" width="8.949219" style="24"/>
    <col min="208" max="208" customWidth="1" width="8.949219" style="24"/>
    <col min="209" max="209" customWidth="1" width="8.949219" style="24"/>
    <col min="210" max="210" customWidth="1" width="8.949219" style="24"/>
    <col min="211" max="211" customWidth="1" width="8.949219" style="24"/>
    <col min="212" max="212" customWidth="1" width="8.949219" style="24"/>
    <col min="213" max="213" customWidth="1" width="8.949219" style="24"/>
    <col min="214" max="214" customWidth="1" width="8.949219" style="24"/>
    <col min="215" max="215" customWidth="1" width="8.949219" style="24"/>
    <col min="216" max="216" customWidth="1" width="8.949219" style="24"/>
    <col min="217" max="217" customWidth="1" width="8.949219" style="24"/>
    <col min="218" max="218" customWidth="1" width="8.949219" style="24"/>
    <col min="219" max="219" customWidth="1" width="8.949219" style="24"/>
    <col min="220" max="220" customWidth="1" width="8.949219" style="24"/>
    <col min="221" max="221" customWidth="1" width="8.949219" style="24"/>
    <col min="222" max="222" customWidth="1" width="8.949219" style="24"/>
    <col min="223" max="223" customWidth="1" width="8.949219" style="24"/>
    <col min="224" max="224" customWidth="1" width="8.949219" style="24"/>
    <col min="225" max="225" customWidth="1" width="8.949219" style="24"/>
    <col min="226" max="226" customWidth="1" width="8.949219" style="24"/>
    <col min="227" max="227" customWidth="1" width="8.949219" style="24"/>
    <col min="228" max="228" customWidth="1" width="8.949219" style="24"/>
    <col min="229" max="229" customWidth="1" width="8.949219" style="24"/>
    <col min="230" max="230" customWidth="1" width="8.949219" style="24"/>
    <col min="231" max="231" customWidth="1" width="8.949219" style="24"/>
    <col min="232" max="232" customWidth="1" width="8.949219" style="24"/>
    <col min="233" max="233" customWidth="1" width="8.949219" style="24"/>
    <col min="234" max="234" customWidth="1" width="8.949219" style="24"/>
    <col min="235" max="235" customWidth="1" width="8.949219" style="24"/>
    <col min="236" max="236" customWidth="1" width="8.949219" style="24"/>
    <col min="237" max="237" customWidth="1" width="8.949219" style="24"/>
    <col min="238" max="238" customWidth="1" width="8.949219" style="24"/>
    <col min="239" max="239" customWidth="1" width="8.949219" style="24"/>
    <col min="240" max="240" customWidth="1" width="8.949219" style="24"/>
    <col min="241" max="241" customWidth="1" width="8.949219" style="24"/>
    <col min="242" max="242" customWidth="1" width="8.949219" style="24"/>
    <col min="243" max="243" customWidth="1" width="8.949219" style="24"/>
    <col min="244" max="244" customWidth="1" width="8.949219" style="24"/>
    <col min="245" max="245" customWidth="1" width="8.949219" style="24"/>
    <col min="246" max="246" customWidth="1" width="8.949219" style="24"/>
    <col min="247" max="247" customWidth="1" width="8.949219" style="24"/>
    <col min="248" max="248" customWidth="1" width="8.949219" style="24"/>
    <col min="249" max="249" customWidth="1" width="8.949219" style="24"/>
    <col min="250" max="250" customWidth="1" width="8.949219" style="24"/>
    <col min="251" max="251" customWidth="1" width="8.949219" style="24"/>
    <col min="252" max="252" customWidth="1" width="8.949219" style="24"/>
    <col min="253" max="253" customWidth="1" width="8.949219" style="24"/>
    <col min="254" max="254" customWidth="1" width="8.949219" style="24"/>
    <col min="255" max="255" customWidth="1" width="8.949219" style="24"/>
    <col min="256" max="256" customWidth="1" bestFit="1" width="10.0" style="0"/>
  </cols>
  <sheetData>
    <row r="1" spans="8:8" ht="21.5">
      <c r="A1" s="25" t="s">
        <v>8</v>
      </c>
      <c r="B1" s="26">
        <v>125.0</v>
      </c>
      <c r="J1" s="24">
        <f>(PI()*($J$2)^2)/4200</f>
        <v>125.00355280731738</v>
      </c>
    </row>
    <row r="2" spans="8:8">
      <c r="A2" s="25" t="s">
        <v>1</v>
      </c>
      <c r="B2" s="27">
        <f>(($B$1)*4200/(PI()))^0.5</f>
        <v>408.79419057331296</v>
      </c>
      <c r="J2" s="28">
        <v>408.8</v>
      </c>
    </row>
    <row r="3" spans="8:8" ht="18.0">
      <c r="A3" s="24" t="s">
        <v>9</v>
      </c>
      <c r="B3" s="24">
        <f>B2/B5</f>
        <v>227.10788365184052</v>
      </c>
    </row>
    <row r="4" spans="8:8">
      <c r="A4" s="23" t="s">
        <v>10</v>
      </c>
      <c r="B4" s="24">
        <f>B3-SUM(A7:A27)</f>
        <v>0.10788365184100712</v>
      </c>
    </row>
    <row r="5" spans="8:8">
      <c r="A5" s="23" t="s">
        <v>11</v>
      </c>
      <c r="B5" s="28">
        <v>1.8</v>
      </c>
      <c r="J5" s="24">
        <f>B2/180</f>
        <v>2.2710788365184054</v>
      </c>
      <c r="L5" s="24">
        <f>5*1.55</f>
        <v>7.75</v>
      </c>
    </row>
    <row r="6" spans="8:8" ht="29.45" customHeight="1">
      <c r="A6" s="29" t="s">
        <v>7</v>
      </c>
      <c r="B6" s="30" t="s">
        <v>0</v>
      </c>
      <c r="C6" s="31" t="s">
        <v>6</v>
      </c>
      <c r="D6" s="27" t="s">
        <v>3</v>
      </c>
      <c r="E6" s="27"/>
      <c r="F6" s="27" t="s">
        <v>2</v>
      </c>
      <c r="G6" s="27" t="s">
        <v>4</v>
      </c>
      <c r="H6" s="27" t="s">
        <v>5</v>
      </c>
      <c r="L6" s="24">
        <f>L5/3</f>
        <v>2.5833333333333335</v>
      </c>
      <c r="O6" s="27" t="s">
        <v>43</v>
      </c>
      <c r="P6" s="27" t="s">
        <v>44</v>
      </c>
      <c r="Q6" s="27" t="s">
        <v>45</v>
      </c>
    </row>
    <row r="7" spans="8:8" ht="21.5">
      <c r="A7" s="26">
        <v>30.0</v>
      </c>
      <c r="B7" s="27">
        <f t="shared" si="0" ref="B7:B26">(H8-H7)*IF((H8-H7)&gt;=0,"1",IF((H8-H7)&lt;0,"0", ))</f>
        <v>10.48119935133672</v>
      </c>
      <c r="C7" s="32">
        <v>0.0</v>
      </c>
      <c r="D7" s="27">
        <f>C7*$C$9</f>
        <v>0.0</v>
      </c>
      <c r="E7" s="27">
        <f t="shared" si="1" ref="E7:E28">IF(($B$2-D7)&gt;=0,"1",IF(($B$2-D7)&lt;0,"0"))*D7</f>
        <v>0.0</v>
      </c>
      <c r="F7" s="27">
        <f t="shared" si="2" ref="F7:F28">DEGREES(ASIN(E7/$B$2))</f>
        <v>0.0</v>
      </c>
      <c r="G7" s="27">
        <f t="shared" si="3" ref="G7:G28">COS(RADIANS(F7))*$B$2*IF(($B$2-D7)&gt;=0,"1",IF(($B$2-D7)&lt;0,"0"))</f>
        <v>408.79419057331296</v>
      </c>
      <c r="H7" s="27">
        <f t="shared" si="4" ref="H7:H28">(2*F7*$B$1/360)+(G7*D7/4200)</f>
        <v>0.0</v>
      </c>
      <c r="O7" s="33">
        <f>B7/A7</f>
        <v>0.349373311711224</v>
      </c>
      <c r="P7" s="27"/>
      <c r="Q7" s="27">
        <f>P7*O7</f>
        <v>0.0</v>
      </c>
    </row>
    <row r="8" spans="8:8" ht="21.5">
      <c r="A8" s="26">
        <v>30.0</v>
      </c>
      <c r="B8" s="27">
        <f t="shared" si="0"/>
        <v>10.29530933343878</v>
      </c>
      <c r="C8" s="32">
        <f>A7+C7</f>
        <v>30.0</v>
      </c>
      <c r="D8" s="27">
        <f t="shared" si="5" ref="D8:D28">C8*$B$5</f>
        <v>54.0</v>
      </c>
      <c r="E8" s="27">
        <f t="shared" si="1"/>
        <v>54.0</v>
      </c>
      <c r="F8" s="27">
        <f t="shared" si="2"/>
        <v>7.590718029546316</v>
      </c>
      <c r="G8" s="27">
        <f t="shared" si="3"/>
        <v>405.211907829089</v>
      </c>
      <c r="H8" s="27">
        <f t="shared" si="4"/>
        <v>10.48119935133672</v>
      </c>
      <c r="O8" s="33">
        <f>B8/A8</f>
        <v>0.3431769777812927</v>
      </c>
      <c r="P8" s="27"/>
      <c r="Q8" s="27">
        <f>P8*O8</f>
        <v>0.0</v>
      </c>
    </row>
    <row r="9" spans="8:8" ht="21.5">
      <c r="A9" s="34">
        <v>30.0</v>
      </c>
      <c r="B9" s="27">
        <f t="shared" si="0"/>
        <v>9.913007104949003</v>
      </c>
      <c r="C9" s="32">
        <f>A8+C8</f>
        <v>60.0</v>
      </c>
      <c r="D9" s="27">
        <f t="shared" si="5"/>
        <v>108.0</v>
      </c>
      <c r="E9" s="27">
        <f t="shared" si="1"/>
        <v>108.0</v>
      </c>
      <c r="F9" s="27">
        <f t="shared" si="2"/>
        <v>15.318924347714995</v>
      </c>
      <c r="G9" s="27">
        <f t="shared" si="3"/>
        <v>394.2698190915583</v>
      </c>
      <c r="H9" s="27">
        <f t="shared" si="4"/>
        <v>20.7765086847755</v>
      </c>
      <c r="O9" s="33">
        <f>B9/A9</f>
        <v>0.3304335701649668</v>
      </c>
      <c r="P9" s="27"/>
      <c r="Q9" s="27">
        <f>P9*O9</f>
        <v>0.0</v>
      </c>
    </row>
    <row r="10" spans="8:8" ht="21.5">
      <c r="A10" s="34">
        <v>30.0</v>
      </c>
      <c r="B10" s="27">
        <f t="shared" si="0"/>
        <v>9.3099280433702</v>
      </c>
      <c r="C10" s="32">
        <f>A9+C9</f>
        <v>90.0</v>
      </c>
      <c r="D10" s="27">
        <f t="shared" si="5"/>
        <v>162.0</v>
      </c>
      <c r="E10" s="27">
        <f t="shared" si="1"/>
        <v>162.0</v>
      </c>
      <c r="F10" s="27">
        <f t="shared" si="2"/>
        <v>23.34629211691873</v>
      </c>
      <c r="G10" s="27">
        <f t="shared" si="3"/>
        <v>375.32477968619406</v>
      </c>
      <c r="H10" s="27">
        <f t="shared" si="4"/>
        <v>30.689515789724503</v>
      </c>
      <c r="O10" s="33">
        <f>B10/A10</f>
        <v>0.31033093477900664</v>
      </c>
      <c r="P10" s="27"/>
      <c r="Q10" s="27">
        <f>P10*O10</f>
        <v>0.0</v>
      </c>
    </row>
    <row r="11" spans="8:8" ht="21.5">
      <c r="A11" s="34">
        <v>30.0</v>
      </c>
      <c r="B11" s="27">
        <f t="shared" si="0"/>
        <v>8.438314544009302</v>
      </c>
      <c r="C11" s="32">
        <f>A10+C10</f>
        <v>120.0</v>
      </c>
      <c r="D11" s="27">
        <f t="shared" si="5"/>
        <v>216.0</v>
      </c>
      <c r="E11" s="27">
        <f t="shared" si="1"/>
        <v>216.0</v>
      </c>
      <c r="F11" s="27">
        <f t="shared" si="2"/>
        <v>31.89628199814538</v>
      </c>
      <c r="G11" s="27">
        <f t="shared" si="3"/>
        <v>347.06871113151374</v>
      </c>
      <c r="H11" s="27">
        <f t="shared" si="4"/>
        <v>39.9994438330947</v>
      </c>
      <c r="O11" s="33">
        <f>B11/A11</f>
        <v>0.28127715146697674</v>
      </c>
      <c r="P11" s="27"/>
      <c r="Q11" s="27">
        <f>P11*O11</f>
        <v>0.0</v>
      </c>
    </row>
    <row r="12" spans="8:8" ht="21.5">
      <c r="A12" s="34">
        <v>30.0</v>
      </c>
      <c r="B12" s="27">
        <f t="shared" si="0"/>
        <v>7.19931503056749</v>
      </c>
      <c r="C12" s="32">
        <f>A11+C11</f>
        <v>150.0</v>
      </c>
      <c r="D12" s="27">
        <f t="shared" si="5"/>
        <v>270.0</v>
      </c>
      <c r="E12" s="27">
        <f t="shared" si="1"/>
        <v>270.0</v>
      </c>
      <c r="F12" s="27">
        <f t="shared" si="2"/>
        <v>41.336418360573134</v>
      </c>
      <c r="G12" s="27">
        <f t="shared" si="3"/>
        <v>306.9408578969084</v>
      </c>
      <c r="H12" s="27">
        <f t="shared" si="4"/>
        <v>48.437758377104004</v>
      </c>
      <c r="O12" s="33">
        <f>B12/A12</f>
        <v>0.239977167685583</v>
      </c>
      <c r="P12" s="27"/>
      <c r="Q12" s="27">
        <f>P12*O12</f>
        <v>0.0</v>
      </c>
    </row>
    <row r="13" spans="8:8" ht="21.5">
      <c r="A13" s="34">
        <v>30.0</v>
      </c>
      <c r="B13" s="27">
        <f t="shared" si="0"/>
        <v>5.329401427468113</v>
      </c>
      <c r="C13" s="32">
        <f>A12+C12</f>
        <v>180.0</v>
      </c>
      <c r="D13" s="27">
        <f t="shared" si="5"/>
        <v>324.0</v>
      </c>
      <c r="E13" s="27">
        <f t="shared" si="1"/>
        <v>324.0</v>
      </c>
      <c r="F13" s="27">
        <f t="shared" si="2"/>
        <v>52.426791825908296</v>
      </c>
      <c r="G13" s="27">
        <f t="shared" si="3"/>
        <v>249.27232146086766</v>
      </c>
      <c r="H13" s="27">
        <f t="shared" si="4"/>
        <v>55.637073407671494</v>
      </c>
      <c r="J13" s="24">
        <f>SUM(B7:B13)</f>
        <v>60.96647483513961</v>
      </c>
      <c r="O13" s="33">
        <f>B13/A13</f>
        <v>0.1776467142489371</v>
      </c>
      <c r="P13" s="27"/>
      <c r="Q13" s="27">
        <f>P13*O13</f>
        <v>0.0</v>
      </c>
    </row>
    <row r="14" spans="8:8" ht="21.5">
      <c r="A14" s="34">
        <v>17.0</v>
      </c>
      <c r="B14" s="35">
        <f t="shared" si="0"/>
        <v>1.5327484384549948</v>
      </c>
      <c r="C14" s="32">
        <f>A13+C13</f>
        <v>210.0</v>
      </c>
      <c r="D14" s="27">
        <f t="shared" si="5"/>
        <v>378.0</v>
      </c>
      <c r="E14" s="27">
        <f t="shared" si="1"/>
        <v>378.0</v>
      </c>
      <c r="F14" s="27">
        <f t="shared" si="2"/>
        <v>67.6187478301688</v>
      </c>
      <c r="G14" s="27">
        <f t="shared" si="3"/>
        <v>155.6556784909889</v>
      </c>
      <c r="H14" s="27">
        <f t="shared" si="4"/>
        <v>60.96647483513961</v>
      </c>
      <c r="O14" s="33">
        <f>B14/A14</f>
        <v>0.0901616728502938</v>
      </c>
      <c r="P14" s="27"/>
      <c r="Q14" s="27">
        <f>P14*O14</f>
        <v>0.0</v>
      </c>
    </row>
    <row r="15" spans="8:8">
      <c r="A15" s="34"/>
      <c r="B15" s="27">
        <f t="shared" si="0"/>
        <v>0.0</v>
      </c>
      <c r="C15" s="32">
        <f>A14+C14</f>
        <v>227.0</v>
      </c>
      <c r="D15" s="27">
        <f t="shared" si="5"/>
        <v>408.6</v>
      </c>
      <c r="E15" s="27">
        <f t="shared" si="1"/>
        <v>408.6</v>
      </c>
      <c r="F15" s="27">
        <f t="shared" si="2"/>
        <v>88.23389492695307</v>
      </c>
      <c r="G15" s="27">
        <f t="shared" si="3"/>
        <v>12.598819249839016</v>
      </c>
      <c r="H15" s="27">
        <f t="shared" si="4"/>
        <v>62.4992232735946</v>
      </c>
      <c r="O15" s="27"/>
      <c r="P15" s="27"/>
      <c r="Q15" s="36">
        <f>SUM(Q7:Q14)</f>
        <v>0.0</v>
      </c>
    </row>
    <row r="16" spans="8:8">
      <c r="A16" s="34"/>
      <c r="B16" s="27" t="e">
        <f t="shared" si="0"/>
        <v>#VALUE!</v>
      </c>
      <c r="C16" s="32">
        <f>A15+C15</f>
        <v>227.0</v>
      </c>
      <c r="D16" s="27">
        <f t="shared" si="5"/>
        <v>408.6</v>
      </c>
      <c r="E16" s="27">
        <f t="shared" si="1"/>
        <v>408.6</v>
      </c>
      <c r="F16" s="27">
        <f t="shared" si="2"/>
        <v>88.23389492695307</v>
      </c>
      <c r="G16" s="27">
        <f t="shared" si="3"/>
        <v>12.598819249839016</v>
      </c>
      <c r="H16" s="27">
        <f t="shared" si="4"/>
        <v>62.4992232735946</v>
      </c>
    </row>
    <row r="17" spans="8:8">
      <c r="A17" s="34"/>
      <c r="B17" s="27" t="e">
        <f t="shared" si="0"/>
        <v>#VALUE!</v>
      </c>
      <c r="C17" s="32" t="e">
        <f>A16:B18+C16</f>
        <v>#VALUE!</v>
      </c>
      <c r="D17" s="27" t="e">
        <f t="shared" si="5"/>
        <v>#VALUE!</v>
      </c>
      <c r="E17" s="27" t="e">
        <f t="shared" si="1"/>
        <v>#VALUE!</v>
      </c>
      <c r="F17" s="27" t="e">
        <f t="shared" si="2"/>
        <v>#VALUE!</v>
      </c>
      <c r="G17" s="27" t="e">
        <f t="shared" si="3"/>
        <v>#VALUE!</v>
      </c>
      <c r="H17" s="27" t="e">
        <f t="shared" si="4"/>
        <v>#VALUE!</v>
      </c>
    </row>
    <row r="18" spans="8:8">
      <c r="A18" s="34"/>
      <c r="B18" s="27" t="e">
        <f t="shared" si="0"/>
        <v>#VALUE!</v>
      </c>
      <c r="C18" s="32" t="e">
        <f>A17+C17</f>
        <v>#VALUE!</v>
      </c>
      <c r="D18" s="27" t="e">
        <f t="shared" si="5"/>
        <v>#VALUE!</v>
      </c>
      <c r="E18" s="27" t="e">
        <f t="shared" si="1"/>
        <v>#VALUE!</v>
      </c>
      <c r="F18" s="27" t="e">
        <f t="shared" si="2"/>
        <v>#VALUE!</v>
      </c>
      <c r="G18" s="27" t="e">
        <f t="shared" si="3"/>
        <v>#VALUE!</v>
      </c>
      <c r="H18" s="27" t="e">
        <f t="shared" si="4"/>
        <v>#VALUE!</v>
      </c>
    </row>
    <row r="19" spans="8:8">
      <c r="A19" s="34" t="s">
        <v>42</v>
      </c>
      <c r="B19" s="27" t="e">
        <f t="shared" si="0"/>
        <v>#VALUE!</v>
      </c>
      <c r="C19" s="32" t="e">
        <f>A18+C18</f>
        <v>#VALUE!</v>
      </c>
      <c r="D19" s="27" t="e">
        <f t="shared" si="5"/>
        <v>#VALUE!</v>
      </c>
      <c r="E19" s="27" t="e">
        <f t="shared" si="1"/>
        <v>#VALUE!</v>
      </c>
      <c r="F19" s="27" t="e">
        <f t="shared" si="2"/>
        <v>#VALUE!</v>
      </c>
      <c r="G19" s="27" t="e">
        <f t="shared" si="3"/>
        <v>#VALUE!</v>
      </c>
      <c r="H19" s="27" t="e">
        <f t="shared" si="4"/>
        <v>#VALUE!</v>
      </c>
    </row>
    <row r="20" spans="8:8" ht="31.5" customHeight="1">
      <c r="A20" s="34"/>
      <c r="B20" s="27" t="e">
        <f t="shared" si="0"/>
        <v>#VALUE!</v>
      </c>
      <c r="C20" s="32" t="e">
        <f>A19+C19</f>
        <v>#VALUE!</v>
      </c>
      <c r="D20" s="27" t="e">
        <f t="shared" si="5"/>
        <v>#VALUE!</v>
      </c>
      <c r="E20" s="27" t="e">
        <f t="shared" si="1"/>
        <v>#VALUE!</v>
      </c>
      <c r="F20" s="27" t="e">
        <f t="shared" si="2"/>
        <v>#VALUE!</v>
      </c>
      <c r="G20" s="27" t="e">
        <f t="shared" si="3"/>
        <v>#VALUE!</v>
      </c>
      <c r="H20" s="27" t="e">
        <f t="shared" si="4"/>
        <v>#VALUE!</v>
      </c>
    </row>
    <row r="21" spans="8:8">
      <c r="A21" s="34"/>
      <c r="B21" s="27" t="e">
        <f t="shared" si="0"/>
        <v>#VALUE!</v>
      </c>
      <c r="C21" s="32" t="e">
        <f>A20+C20</f>
        <v>#VALUE!</v>
      </c>
      <c r="D21" s="27" t="e">
        <f t="shared" si="5"/>
        <v>#VALUE!</v>
      </c>
      <c r="E21" s="27" t="e">
        <f t="shared" si="1"/>
        <v>#VALUE!</v>
      </c>
      <c r="F21" s="27" t="e">
        <f t="shared" si="2"/>
        <v>#VALUE!</v>
      </c>
      <c r="G21" s="27" t="e">
        <f t="shared" si="3"/>
        <v>#VALUE!</v>
      </c>
      <c r="H21" s="27" t="e">
        <f t="shared" si="4"/>
        <v>#VALUE!</v>
      </c>
    </row>
    <row r="22" spans="8:8">
      <c r="A22" s="34"/>
      <c r="B22" s="27" t="e">
        <f>(H23-H22)*IF((H23-H22)&gt;=0,"1",IF((H23-H22)&lt;0,"0", ))</f>
        <v>#VALUE!</v>
      </c>
      <c r="C22" s="32" t="e">
        <f>A21+C21</f>
        <v>#VALUE!</v>
      </c>
      <c r="D22" s="27" t="e">
        <f t="shared" si="5"/>
        <v>#VALUE!</v>
      </c>
      <c r="E22" s="27" t="e">
        <f t="shared" si="1"/>
        <v>#VALUE!</v>
      </c>
      <c r="F22" s="27" t="e">
        <f t="shared" si="2"/>
        <v>#VALUE!</v>
      </c>
      <c r="G22" s="27" t="e">
        <f t="shared" si="3"/>
        <v>#VALUE!</v>
      </c>
      <c r="H22" s="27" t="e">
        <f t="shared" si="4"/>
        <v>#VALUE!</v>
      </c>
    </row>
    <row r="23" spans="8:8">
      <c r="A23" s="34"/>
      <c r="B23" s="27" t="e">
        <f t="shared" si="0"/>
        <v>#VALUE!</v>
      </c>
      <c r="C23" s="32" t="e">
        <f>A22+C22</f>
        <v>#VALUE!</v>
      </c>
      <c r="D23" s="27" t="e">
        <f t="shared" si="5"/>
        <v>#VALUE!</v>
      </c>
      <c r="E23" s="27" t="e">
        <f t="shared" si="1"/>
        <v>#VALUE!</v>
      </c>
      <c r="F23" s="27" t="e">
        <f t="shared" si="2"/>
        <v>#VALUE!</v>
      </c>
      <c r="G23" s="27" t="e">
        <f t="shared" si="3"/>
        <v>#VALUE!</v>
      </c>
      <c r="H23" s="27" t="e">
        <f t="shared" si="4"/>
        <v>#VALUE!</v>
      </c>
    </row>
    <row r="24" spans="8:8">
      <c r="A24" s="34"/>
      <c r="B24" s="27" t="e">
        <f t="shared" si="0"/>
        <v>#VALUE!</v>
      </c>
      <c r="C24" s="32" t="e">
        <f>A23+C23</f>
        <v>#VALUE!</v>
      </c>
      <c r="D24" s="27" t="e">
        <f t="shared" si="5"/>
        <v>#VALUE!</v>
      </c>
      <c r="E24" s="27" t="e">
        <f t="shared" si="1"/>
        <v>#VALUE!</v>
      </c>
      <c r="F24" s="27" t="e">
        <f t="shared" si="2"/>
        <v>#VALUE!</v>
      </c>
      <c r="G24" s="27" t="e">
        <f t="shared" si="3"/>
        <v>#VALUE!</v>
      </c>
      <c r="H24" s="27" t="e">
        <f t="shared" si="4"/>
        <v>#VALUE!</v>
      </c>
    </row>
    <row r="25" spans="8:8">
      <c r="A25" s="34"/>
      <c r="B25" s="27" t="e">
        <f t="shared" si="0"/>
        <v>#VALUE!</v>
      </c>
      <c r="C25" s="32" t="e">
        <f>A24+C24</f>
        <v>#VALUE!</v>
      </c>
      <c r="D25" s="27" t="e">
        <f t="shared" si="5"/>
        <v>#VALUE!</v>
      </c>
      <c r="E25" s="27" t="e">
        <f t="shared" si="1"/>
        <v>#VALUE!</v>
      </c>
      <c r="F25" s="27" t="e">
        <f t="shared" si="2"/>
        <v>#VALUE!</v>
      </c>
      <c r="G25" s="27" t="e">
        <f t="shared" si="3"/>
        <v>#VALUE!</v>
      </c>
      <c r="H25" s="27" t="e">
        <f t="shared" si="4"/>
        <v>#VALUE!</v>
      </c>
    </row>
    <row r="26" spans="8:8">
      <c r="A26" s="34"/>
      <c r="B26" s="27" t="e">
        <f t="shared" si="0"/>
        <v>#VALUE!</v>
      </c>
      <c r="C26" s="32" t="e">
        <f>A25+C25</f>
        <v>#VALUE!</v>
      </c>
      <c r="D26" s="27" t="e">
        <f t="shared" si="5"/>
        <v>#VALUE!</v>
      </c>
      <c r="E26" s="27" t="e">
        <f t="shared" si="1"/>
        <v>#VALUE!</v>
      </c>
      <c r="F26" s="27" t="e">
        <f t="shared" si="2"/>
        <v>#VALUE!</v>
      </c>
      <c r="G26" s="27" t="e">
        <f t="shared" si="3"/>
        <v>#VALUE!</v>
      </c>
      <c r="H26" s="27" t="e">
        <f t="shared" si="4"/>
        <v>#VALUE!</v>
      </c>
    </row>
    <row r="27" spans="8:8">
      <c r="A27" s="34"/>
      <c r="B27" s="27" t="e">
        <f>(H28-H27)*IF((H28-H27)&gt;=0,"1",IF((H28-H27)&lt;0,"0", ))</f>
        <v>#VALUE!</v>
      </c>
      <c r="C27" s="32" t="e">
        <f>A26+C26</f>
        <v>#VALUE!</v>
      </c>
      <c r="D27" s="27" t="e">
        <f t="shared" si="5"/>
        <v>#VALUE!</v>
      </c>
      <c r="E27" s="27" t="e">
        <f t="shared" si="1"/>
        <v>#VALUE!</v>
      </c>
      <c r="F27" s="27" t="e">
        <f t="shared" si="2"/>
        <v>#VALUE!</v>
      </c>
      <c r="G27" s="27" t="e">
        <f t="shared" si="3"/>
        <v>#VALUE!</v>
      </c>
      <c r="H27" s="27" t="e">
        <f t="shared" si="4"/>
        <v>#VALUE!</v>
      </c>
    </row>
    <row r="28" spans="8:8">
      <c r="A28" s="37"/>
      <c r="B28" s="27" t="e">
        <f t="shared" si="6" ref="B28:B29">(H29-H28)*IF((H29-H28)&gt;=0,"1",IF((H29-H28)&lt;0,"0", ))</f>
        <v>#VALUE!</v>
      </c>
      <c r="C28" s="38" t="e">
        <f>A27+C27</f>
        <v>#VALUE!</v>
      </c>
      <c r="D28" s="27" t="e">
        <f t="shared" si="5"/>
        <v>#VALUE!</v>
      </c>
      <c r="E28" s="27" t="e">
        <f t="shared" si="1"/>
        <v>#VALUE!</v>
      </c>
      <c r="F28" s="27" t="e">
        <f t="shared" si="2"/>
        <v>#VALUE!</v>
      </c>
      <c r="G28" s="27" t="e">
        <f t="shared" si="3"/>
        <v>#VALUE!</v>
      </c>
      <c r="H28" s="27" t="e">
        <f t="shared" si="4"/>
        <v>#VALUE!</v>
      </c>
    </row>
    <row r="29" spans="8:8">
      <c r="A29" s="37"/>
      <c r="B29" s="27" t="e">
        <f t="shared" si="6"/>
        <v>#VALUE!</v>
      </c>
      <c r="C29" s="38" t="e">
        <f t="shared" si="7" ref="C29">A28+C28</f>
        <v>#VALUE!</v>
      </c>
      <c r="D29" s="27" t="e">
        <f t="shared" si="8" ref="D29">C29*$B$5</f>
        <v>#VALUE!</v>
      </c>
      <c r="E29" s="27" t="e">
        <f t="shared" si="9" ref="E29">IF(($B$2-D29)&gt;=0,"1",IF(($B$2-D29)&lt;0,"0"))*D29</f>
        <v>#VALUE!</v>
      </c>
      <c r="F29" s="27" t="e">
        <f t="shared" si="10" ref="F29">DEGREES(ASIN(E29/$B$2))</f>
        <v>#VALUE!</v>
      </c>
      <c r="G29" s="27" t="e">
        <f t="shared" si="11" ref="G29">COS(RADIANS(F29))*$B$2*IF(($B$2-D29)&gt;=0,"1",IF(($B$2-D29)&lt;0,"0"))</f>
        <v>#VALUE!</v>
      </c>
      <c r="H29" s="27" t="e">
        <f t="shared" si="12" ref="H29">(2*F29*$B$1/360)+(G29*D29/4200)</f>
        <v>#VALUE!</v>
      </c>
    </row>
    <row r="30" spans="8:8">
      <c r="L30" s="24" t="s">
        <v>33</v>
      </c>
    </row>
    <row r="31" spans="8:8">
      <c r="A31" s="29" t="s">
        <v>20</v>
      </c>
      <c r="B31" s="30" t="s">
        <v>24</v>
      </c>
      <c r="C31" s="30" t="s">
        <v>25</v>
      </c>
      <c r="D31" s="30" t="s">
        <v>26</v>
      </c>
      <c r="E31" s="30" t="s">
        <v>27</v>
      </c>
      <c r="F31" s="39" t="s">
        <v>28</v>
      </c>
    </row>
    <row r="32" spans="8:8">
      <c r="A32" s="40" t="s">
        <v>29</v>
      </c>
      <c r="B32" s="27">
        <v>7.0</v>
      </c>
      <c r="C32" s="41">
        <v>210.0</v>
      </c>
      <c r="D32" s="27"/>
      <c r="E32" s="27"/>
      <c r="F32" s="32"/>
    </row>
    <row r="33" spans="8:8">
      <c r="A33" s="40" t="s">
        <v>30</v>
      </c>
      <c r="B33" s="27">
        <v>8.0</v>
      </c>
      <c r="C33" s="41">
        <v>240.0</v>
      </c>
      <c r="D33" s="27"/>
      <c r="E33" s="27"/>
      <c r="F33" s="32"/>
    </row>
    <row r="34" spans="8:8">
      <c r="A34" s="40" t="s">
        <v>31</v>
      </c>
      <c r="B34" s="27">
        <v>9.0</v>
      </c>
      <c r="C34" s="41">
        <v>270.0</v>
      </c>
      <c r="D34" s="27"/>
      <c r="E34" s="27"/>
      <c r="F34" s="32"/>
    </row>
    <row r="35" spans="8:8">
      <c r="A35" s="42" t="s">
        <v>32</v>
      </c>
      <c r="B35" s="43"/>
      <c r="C35" s="44">
        <v>0.0</v>
      </c>
      <c r="D35" s="43"/>
      <c r="E35" s="43"/>
      <c r="F35" s="38"/>
    </row>
    <row r="37" spans="8:8">
      <c r="B37" s="24">
        <v>7.0</v>
      </c>
    </row>
    <row r="38" spans="8:8">
      <c r="B38" s="24">
        <v>8.0</v>
      </c>
    </row>
    <row r="39" spans="8:8">
      <c r="B39" s="24">
        <v>9.0</v>
      </c>
    </row>
    <row r="40" spans="8:8">
      <c r="B40" s="24">
        <v>0.0</v>
      </c>
    </row>
  </sheetData>
  <conditionalFormatting sqref="E7:E29">
    <cfRule type="notContainsErrors" priority="1">
      <formula>NOT(ISERROR(E7))</formula>
    </cfRule>
  </conditionalFormatting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H7:P10"/>
  <sheetViews>
    <sheetView workbookViewId="0">
      <selection activeCell="C27" sqref="C27"/>
    </sheetView>
  </sheetViews>
  <sheetFormatPr defaultRowHeight="13.5" defaultColWidth="10"/>
  <sheetData>
    <row r="10" spans="8:8">
      <c r="H10" t="s">
        <v>20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selection activeCell="A10" sqref="A10:C21"/>
    </sheetView>
  </sheetViews>
  <sheetFormatPr defaultRowHeight="18.0" defaultColWidth="10"/>
  <cols>
    <col min="1" max="1" customWidth="1" width="19.0" style="45"/>
    <col min="2" max="2" customWidth="1" width="17.039062" style="45"/>
    <col min="3" max="3" customWidth="1" width="11.765625" style="45"/>
    <col min="4" max="16384" customWidth="0" width="10.050781" style="45"/>
  </cols>
  <sheetData>
    <row r="1" spans="8:8">
      <c r="A1" s="45" t="s">
        <v>34</v>
      </c>
      <c r="B1" s="45">
        <v>10.3</v>
      </c>
    </row>
    <row r="2" spans="8:8">
      <c r="A2" s="45" t="s">
        <v>35</v>
      </c>
      <c r="B2" s="45">
        <v>60.0</v>
      </c>
    </row>
    <row r="3" spans="8:8" ht="18.0" hidden="1"/>
    <row r="4" spans="8:8">
      <c r="A4" s="45" t="s">
        <v>36</v>
      </c>
      <c r="B4" s="45">
        <v>5.0</v>
      </c>
    </row>
    <row r="5" spans="8:8">
      <c r="A5" s="45" t="s">
        <v>37</v>
      </c>
      <c r="B5" s="45">
        <v>1960.0</v>
      </c>
    </row>
    <row r="6" spans="8:8">
      <c r="A6" s="45" t="s">
        <v>41</v>
      </c>
      <c r="B6" s="45">
        <f>B1/B2*A21</f>
        <v>6.180000000000001</v>
      </c>
    </row>
    <row r="7" spans="8:8">
      <c r="A7" s="45" t="s">
        <v>38</v>
      </c>
      <c r="B7" s="45">
        <f>B4*B5/B6</f>
        <v>1585.7605177993526</v>
      </c>
    </row>
    <row r="10" spans="8:8">
      <c r="A10" s="46" t="s">
        <v>39</v>
      </c>
      <c r="B10" s="46" t="s">
        <v>36</v>
      </c>
      <c r="C10" s="46" t="s">
        <v>40</v>
      </c>
    </row>
    <row r="11" spans="8:8">
      <c r="A11" s="47">
        <v>6.0</v>
      </c>
      <c r="B11" s="47">
        <v>2.0</v>
      </c>
      <c r="C11" s="47"/>
    </row>
    <row r="12" spans="8:8">
      <c r="A12" s="47">
        <v>6.0</v>
      </c>
      <c r="B12" s="47">
        <v>3.0</v>
      </c>
      <c r="C12" s="47"/>
    </row>
    <row r="13" spans="8:8">
      <c r="A13" s="47">
        <v>6.0</v>
      </c>
      <c r="B13" s="47">
        <v>2.0</v>
      </c>
      <c r="C13" s="47"/>
    </row>
    <row r="14" spans="8:8">
      <c r="A14" s="47">
        <v>6.0</v>
      </c>
      <c r="B14" s="47">
        <v>3.0</v>
      </c>
      <c r="C14" s="47"/>
    </row>
    <row r="15" spans="8:8">
      <c r="A15" s="47">
        <v>6.0</v>
      </c>
      <c r="B15" s="47">
        <v>10.0</v>
      </c>
      <c r="C15" s="47"/>
    </row>
    <row r="16" spans="8:8">
      <c r="A16" s="48">
        <v>6.0</v>
      </c>
      <c r="B16" s="47"/>
      <c r="C16" s="47"/>
    </row>
    <row r="17" spans="8:8">
      <c r="A17" s="47"/>
      <c r="B17" s="49"/>
      <c r="C17" s="47"/>
    </row>
    <row r="18" spans="8:8">
      <c r="A18" s="47"/>
      <c r="B18" s="49"/>
      <c r="C18" s="47"/>
    </row>
    <row r="19" spans="8:8">
      <c r="A19" s="47"/>
      <c r="B19" s="49"/>
      <c r="C19" s="47"/>
    </row>
    <row r="20" spans="8:8">
      <c r="A20" s="47"/>
      <c r="B20" s="49"/>
      <c r="C20" s="47"/>
    </row>
    <row r="21" spans="8:8">
      <c r="A21" s="46">
        <f>SUM(A11:A16)</f>
        <v>36.0</v>
      </c>
      <c r="B21" s="46">
        <f>SUM(B11:B20)</f>
        <v>20.0</v>
      </c>
      <c r="C2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khaled Biro</dc:creator>
  <cp:lastModifiedBy>Windows User</cp:lastModifiedBy>
  <dcterms:created xsi:type="dcterms:W3CDTF">٢٠١٦-١٠-١٦T٠٤:١٩:٥١Z</dcterms:created>
  <dcterms:modified xsi:type="dcterms:W3CDTF">٢٠٢٦-٠٢-٠٢T٠٥:٤٠:٤١Z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a682e9d89eb84c1b9570a20ea76deeb1</vt:lpwstr>
  </property>
</Properties>
</file>